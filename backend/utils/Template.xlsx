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My Stuff\Github\IPCR_GENERATOR-Thesis\backend\utils\"/>
    </mc:Choice>
  </mc:AlternateContent>
  <xr:revisionPtr revIDLastSave="0" documentId="13_ncr:1_{78B5A164-FBCF-4AFB-9CDA-AE923BFD5E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1" r:id="rId1"/>
    <sheet name="IPCR" sheetId="2" r:id="rId2"/>
  </sheets>
  <definedNames>
    <definedName name="ADJRATE">INFO!$E$14:$E$18</definedName>
    <definedName name="ADJRNG">INFO!$C$51:$G$51</definedName>
    <definedName name="ADM">#REF!</definedName>
    <definedName name="DESCRIPTION">INFO!$B$50:$G$50</definedName>
    <definedName name="DGT">INFO!$E$10</definedName>
    <definedName name="EXT">INFO!$E$8</definedName>
    <definedName name="GRADE">INFO!$B$48:$G$48</definedName>
    <definedName name="HLDY">INFO!$C$36:$C$56</definedName>
    <definedName name="HLDYS">INFO!$A$36:$A$38</definedName>
    <definedName name="holiday">INFO!$B$36:$B$56</definedName>
    <definedName name="holidays">INFO!$C$36:$C$56</definedName>
    <definedName name="INS">INFO!$E$6</definedName>
    <definedName name="NUMRATE">INFO!$D$14:$D$18</definedName>
    <definedName name="NWRK">INFO!$A$36:$A$50</definedName>
    <definedName name="RANGE">INFO!$C$47:$G$47</definedName>
    <definedName name="RANGE1">INFO!$B$47:$G$47</definedName>
    <definedName name="RANGE2">INFO!$B$46:$G$46</definedName>
    <definedName name="RANGE3">INFO!$B$49:$G$49</definedName>
    <definedName name="RES">INFO!$E$7</definedName>
    <definedName name="ROUNDUP">INFO!$B$51:$G$51</definedName>
    <definedName name="SUPT">INFO!$E$9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5sDw/WT46f5vKM02sMyHYCIzNee4UAoDiPbkh1p+fTM="/>
    </ext>
  </extLst>
</workbook>
</file>

<file path=xl/calcChain.xml><?xml version="1.0" encoding="utf-8"?>
<calcChain xmlns="http://schemas.openxmlformats.org/spreadsheetml/2006/main">
  <c r="H83" i="2" l="1"/>
  <c r="F83" i="2"/>
  <c r="I83" i="2" s="1"/>
  <c r="H82" i="2"/>
  <c r="F82" i="2"/>
  <c r="I82" i="2" s="1"/>
  <c r="H81" i="2"/>
  <c r="F81" i="2"/>
  <c r="I81" i="2" s="1"/>
  <c r="H80" i="2"/>
  <c r="F80" i="2"/>
  <c r="I80" i="2" s="1"/>
  <c r="H79" i="2"/>
  <c r="F79" i="2"/>
  <c r="I79" i="2" s="1"/>
  <c r="H78" i="2"/>
  <c r="F78" i="2"/>
  <c r="I78" i="2" s="1"/>
  <c r="H77" i="2"/>
  <c r="F77" i="2"/>
  <c r="I77" i="2" s="1"/>
  <c r="H76" i="2"/>
  <c r="F76" i="2"/>
  <c r="I76" i="2" s="1"/>
  <c r="H22" i="2"/>
  <c r="F22" i="2"/>
  <c r="I22" i="2" s="1"/>
  <c r="I85" i="2" l="1"/>
</calcChain>
</file>

<file path=xl/sharedStrings.xml><?xml version="1.0" encoding="utf-8"?>
<sst xmlns="http://schemas.openxmlformats.org/spreadsheetml/2006/main" count="170" uniqueCount="129">
  <si>
    <t>Instruction:</t>
  </si>
  <si>
    <t>Fill out the Breakdown of Percentages for IPCR in the indicated cells (refer to the table below).</t>
  </si>
  <si>
    <t>Replace all required information such as NAMES, DESIGNATION, RATING PERIOD, DATES, etc.</t>
  </si>
  <si>
    <t>IMPORTANT: All columns and rows are as is, do not delete a row if the particular row is not applicable to you, just leave the cells blank and indicate N/A in the remarks.</t>
  </si>
  <si>
    <t>Instruction</t>
  </si>
  <si>
    <t>Research</t>
  </si>
  <si>
    <t>Extension</t>
  </si>
  <si>
    <t>Support</t>
  </si>
  <si>
    <t>Designation</t>
  </si>
  <si>
    <t>FACULTY WITHOUT DESIGNATION</t>
  </si>
  <si>
    <t>Instructor</t>
  </si>
  <si>
    <t>Associate Professor</t>
  </si>
  <si>
    <t>Rating Scale</t>
  </si>
  <si>
    <t>Numerical Rating</t>
  </si>
  <si>
    <t>Adjectival Rating</t>
  </si>
  <si>
    <t>Outstanding</t>
  </si>
  <si>
    <t>Very Satisfactory</t>
  </si>
  <si>
    <t>Satisfactory</t>
  </si>
  <si>
    <t>Unsatisfactory</t>
  </si>
  <si>
    <t>Assistant Professor</t>
  </si>
  <si>
    <t>Professor</t>
  </si>
  <si>
    <t>Poor</t>
  </si>
  <si>
    <t>FACULTY WITH DESIGNATION</t>
  </si>
  <si>
    <t>Chairperson</t>
  </si>
  <si>
    <t>Director/Dean/Assoc.Dean/Officers/DCD</t>
  </si>
  <si>
    <t>VP/CD</t>
  </si>
  <si>
    <t>HOLIDAYS</t>
  </si>
  <si>
    <t>POOR</t>
  </si>
  <si>
    <t>UNSATISFACTORY</t>
  </si>
  <si>
    <t>SATISFACTORY</t>
  </si>
  <si>
    <t>VERY SATISFACTORY</t>
  </si>
  <si>
    <t>OUTSTANDING</t>
  </si>
  <si>
    <r>
      <rPr>
        <i/>
        <sz val="9"/>
        <color theme="1"/>
        <rFont val="Arial Narrow"/>
      </rPr>
      <t xml:space="preserve">SPMS Form </t>
    </r>
    <r>
      <rPr>
        <i/>
        <u/>
        <sz val="9"/>
        <color theme="1"/>
        <rFont val="Arial Narrow"/>
      </rPr>
      <t>02</t>
    </r>
  </si>
  <si>
    <t>Date: September 2021</t>
  </si>
  <si>
    <t>Revised: 03</t>
  </si>
  <si>
    <t>INDIVIDUAL PERFORMANCE COMMITMENT and REVIEW (IPCR)</t>
  </si>
  <si>
    <t>Conforme:</t>
  </si>
  <si>
    <t>Reviewed by:</t>
  </si>
  <si>
    <t>Approved by:</t>
  </si>
  <si>
    <t>MIA V. VILLARICA</t>
  </si>
  <si>
    <t>ENGR. MANUEL LUIS R. ALVAREZ</t>
  </si>
  <si>
    <t>RATEE</t>
  </si>
  <si>
    <t>Dean/Assoc. Dean</t>
  </si>
  <si>
    <t>CAMPUS DIRECTOR</t>
  </si>
  <si>
    <t>PERFORMANCE INDICATOR</t>
  </si>
  <si>
    <t>Target</t>
  </si>
  <si>
    <t>Accomplished</t>
  </si>
  <si>
    <t>Date of Submission/ Completion (Deadline)</t>
  </si>
  <si>
    <t>Date Submitted/ Completed</t>
  </si>
  <si>
    <t>RATING</t>
  </si>
  <si>
    <t>Remarks</t>
  </si>
  <si>
    <t>QTY</t>
  </si>
  <si>
    <t>QL/E</t>
  </si>
  <si>
    <t>T</t>
  </si>
  <si>
    <t>A</t>
  </si>
  <si>
    <t>INSTRUCTION</t>
  </si>
  <si>
    <t>1. Plan and prepare instructional materials to enhance insctruction</t>
  </si>
  <si>
    <t>a)  No. of Syllabus prepared</t>
  </si>
  <si>
    <t>b) No. of Course Guide</t>
  </si>
  <si>
    <t>c) No. of SLM</t>
  </si>
  <si>
    <t>d) Number of subject areas with community immersion/involvement component</t>
  </si>
  <si>
    <t xml:space="preserve">2.  Organizes classroom instruction. </t>
  </si>
  <si>
    <t>a) Attendance Sheet</t>
  </si>
  <si>
    <t>b)  Class records</t>
  </si>
  <si>
    <t>3. Teaching effectiveness</t>
  </si>
  <si>
    <t>a) Evaluation of Teaching Effectivess (CQA-SF-012)</t>
  </si>
  <si>
    <t>b) Classroom Observation (CQA-SF-012)</t>
  </si>
  <si>
    <t xml:space="preserve">4.  Prepare and check  Summative/Evaluative/ Formative Tests. </t>
  </si>
  <si>
    <t>a) TOS/ Rubrics</t>
  </si>
  <si>
    <t>b)  Test Questions (term exams) / Performance's based activities</t>
  </si>
  <si>
    <t>c)  Answer Keys</t>
  </si>
  <si>
    <t xml:space="preserve">5.  Compute &amp; Evaluate  Grades. </t>
  </si>
  <si>
    <t>a) No. of grading sheets submitted &amp; encoded</t>
  </si>
  <si>
    <t xml:space="preserve">6.  Consultation services to faculty and  students. </t>
  </si>
  <si>
    <t xml:space="preserve">a) No. of faculty &amp; students seek advises (LSPU-ACAD-SF-011) </t>
  </si>
  <si>
    <t xml:space="preserve">7.   Prepare accomplishment report. </t>
  </si>
  <si>
    <t>a)  Accomplishment Report</t>
  </si>
  <si>
    <t>RESEARCH</t>
  </si>
  <si>
    <t xml:space="preserve">8.   Research program/projects/studies. </t>
  </si>
  <si>
    <t>a) Submitted and/or Approved R&amp;D Proposal</t>
  </si>
  <si>
    <t>b) Research Implemented and/or Completed within the Timeframe</t>
  </si>
  <si>
    <t>c) Research Presented in Regional/National/International Conferences</t>
  </si>
  <si>
    <t>d) Research Published in Peer-reviewed Journals</t>
  </si>
  <si>
    <t>e) Filed/Published/Approved Intellectual Property Rights</t>
  </si>
  <si>
    <t>f) Research Utilized/Deployed through Commercialization/Extension/Policy</t>
  </si>
  <si>
    <t>g) Number of citations in journals/books</t>
  </si>
  <si>
    <t>EXTENSION</t>
  </si>
  <si>
    <t xml:space="preserve">9.  Extension projects. </t>
  </si>
  <si>
    <t>a)  Extension proposal submitted/activity conducted</t>
  </si>
  <si>
    <t>b)  Persons trained/provided with technical advise</t>
  </si>
  <si>
    <t>c) Persons who avail the service who rated the service as good or better</t>
  </si>
  <si>
    <t>d) Persons given training or advisory who rated the timeliness of service delivery as good or better</t>
  </si>
  <si>
    <t>e) Technical advice responded within 3 days upon request</t>
  </si>
  <si>
    <t>SUPPORT FUNCTION</t>
  </si>
  <si>
    <t>10.  Perform Officially-Deligated Assignment</t>
  </si>
  <si>
    <t>a) Accomplishment Report</t>
  </si>
  <si>
    <t>11.  Participate in the Flag Raising Ceremony</t>
  </si>
  <si>
    <t>a)  Attendance</t>
  </si>
  <si>
    <t>12.  Participate in the Flag lowering</t>
  </si>
  <si>
    <t>13.  Participate in the health  and wellness  program</t>
  </si>
  <si>
    <t>a)  Attendance sheet/Program of activities/other document as proof</t>
  </si>
  <si>
    <t>14.  Participate in school celebrations and other allied activities</t>
  </si>
  <si>
    <t>15.  Attend  trainings /conferences/seminars</t>
  </si>
  <si>
    <t>a)  Training/Seminar/Conference certificate of attendance/ participation</t>
  </si>
  <si>
    <t>16.  Attend  Faculty Meeting</t>
  </si>
  <si>
    <t>a) Attendance</t>
  </si>
  <si>
    <t>17.  Involvement in accreditation/ISO and other related activities</t>
  </si>
  <si>
    <t>18.  Participate in the spiritual activities</t>
  </si>
  <si>
    <t>ADMINISTRATIVE FUNCTIONS</t>
  </si>
  <si>
    <t>19. Perform Administrative Designation Functions</t>
  </si>
  <si>
    <t>a. Prepare….</t>
  </si>
  <si>
    <t>b. Submit…</t>
  </si>
  <si>
    <t>c. Increase…</t>
  </si>
  <si>
    <t>d….</t>
  </si>
  <si>
    <t>e….</t>
  </si>
  <si>
    <t>Comments and Recommendation for Development Purposes</t>
  </si>
  <si>
    <t xml:space="preserve">Numerical Rating: </t>
  </si>
  <si>
    <t>Adjectival Rating:</t>
  </si>
  <si>
    <t>Discussed with:</t>
  </si>
  <si>
    <t>Assessed by:</t>
  </si>
  <si>
    <t>Checked by:</t>
  </si>
  <si>
    <t>Final Rating:</t>
  </si>
  <si>
    <t>ARLA A. REDOÑA</t>
  </si>
  <si>
    <t>Ratee</t>
  </si>
  <si>
    <t>HRMO</t>
  </si>
  <si>
    <t>Campus Director</t>
  </si>
  <si>
    <t>Date:</t>
  </si>
  <si>
    <t xml:space="preserve">            </t>
  </si>
  <si>
    <t>following  in accordance with the indicated measures for the 1st Semester of Academic Year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</si>
</sst>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dd\-mmm\-yy"/>
    <numFmt numFmtId="165" formatCode="&quot;$&quot;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8"/>
      <color theme="1"/>
      <name val="Calibri"/>
    </font>
    <font>
      <sz val="11"/>
      <color theme="0"/>
      <name val="Calibri"/>
    </font>
    <font>
      <sz val="8"/>
      <color theme="1"/>
      <name val="Arial"/>
    </font>
    <font>
      <sz val="8"/>
      <color theme="0"/>
      <name val="Arial"/>
    </font>
    <font>
      <sz val="8"/>
      <color rgb="FFFF0000"/>
      <name val="Arial"/>
    </font>
    <font>
      <sz val="11"/>
      <color rgb="FFFF0000"/>
      <name val="Calibri"/>
    </font>
    <font>
      <sz val="11"/>
      <color rgb="FF3F3F3F"/>
      <name val="Calibri"/>
    </font>
    <font>
      <i/>
      <sz val="9"/>
      <color theme="1"/>
      <name val="Arial Narrow"/>
    </font>
    <font>
      <b/>
      <sz val="13"/>
      <color rgb="FF3F3F3F"/>
      <name val="Calibri"/>
    </font>
    <font>
      <b/>
      <sz val="11"/>
      <color rgb="FF3F3F3F"/>
      <name val="Calibri"/>
    </font>
    <font>
      <b/>
      <sz val="10"/>
      <color theme="1"/>
      <name val="Calibri"/>
    </font>
    <font>
      <sz val="10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1"/>
      <color theme="1"/>
      <name val="Arial"/>
    </font>
    <font>
      <b/>
      <sz val="11"/>
      <color theme="1"/>
      <name val="Arial Narrow"/>
    </font>
    <font>
      <i/>
      <sz val="11"/>
      <color theme="1"/>
      <name val="Arial Narrow"/>
    </font>
    <font>
      <sz val="11"/>
      <color theme="1"/>
      <name val="Arial Narrow"/>
    </font>
    <font>
      <i/>
      <u/>
      <sz val="9"/>
      <color theme="1"/>
      <name val="Arial Narrow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9" fontId="1" fillId="0" borderId="1" xfId="0" applyNumberFormat="1" applyFont="1" applyBorder="1"/>
    <xf numFmtId="0" fontId="1" fillId="0" borderId="12" xfId="0" applyFont="1" applyBorder="1"/>
    <xf numFmtId="0" fontId="1" fillId="5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/>
    <xf numFmtId="0" fontId="3" fillId="0" borderId="0" xfId="0" applyFont="1"/>
    <xf numFmtId="0" fontId="1" fillId="0" borderId="19" xfId="0" applyFont="1" applyBorder="1"/>
    <xf numFmtId="0" fontId="1" fillId="0" borderId="20" xfId="0" applyFont="1" applyBorder="1"/>
    <xf numFmtId="9" fontId="1" fillId="0" borderId="0" xfId="0" applyNumberFormat="1" applyFont="1"/>
    <xf numFmtId="0" fontId="1" fillId="0" borderId="21" xfId="0" applyFont="1" applyBorder="1"/>
    <xf numFmtId="9" fontId="1" fillId="0" borderId="13" xfId="0" applyNumberFormat="1" applyFont="1" applyBorder="1"/>
    <xf numFmtId="0" fontId="4" fillId="0" borderId="0" xfId="0" applyFont="1"/>
    <xf numFmtId="15" fontId="4" fillId="0" borderId="0" xfId="0" applyNumberFormat="1" applyFont="1"/>
    <xf numFmtId="164" fontId="5" fillId="0" borderId="0" xfId="0" applyNumberFormat="1" applyFont="1" applyAlignment="1">
      <alignment horizontal="center" vertical="center" wrapText="1"/>
    </xf>
    <xf numFmtId="9" fontId="1" fillId="0" borderId="22" xfId="0" applyNumberFormat="1" applyFont="1" applyBorder="1"/>
    <xf numFmtId="164" fontId="6" fillId="0" borderId="0" xfId="0" applyNumberFormat="1" applyFont="1" applyAlignment="1">
      <alignment horizontal="center" vertical="center" wrapText="1"/>
    </xf>
    <xf numFmtId="9" fontId="4" fillId="0" borderId="0" xfId="0" applyNumberFormat="1" applyFont="1"/>
    <xf numFmtId="164" fontId="7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7" borderId="23" xfId="0" applyFont="1" applyFill="1" applyBorder="1"/>
    <xf numFmtId="0" fontId="9" fillId="7" borderId="24" xfId="0" applyFont="1" applyFill="1" applyBorder="1"/>
    <xf numFmtId="0" fontId="9" fillId="7" borderId="24" xfId="0" applyFont="1" applyFill="1" applyBorder="1" applyAlignment="1">
      <alignment horizontal="center" vertical="center"/>
    </xf>
    <xf numFmtId="0" fontId="10" fillId="7" borderId="24" xfId="0" applyFont="1" applyFill="1" applyBorder="1"/>
    <xf numFmtId="0" fontId="10" fillId="7" borderId="25" xfId="0" applyFont="1" applyFill="1" applyBorder="1"/>
    <xf numFmtId="0" fontId="1" fillId="7" borderId="26" xfId="0" applyFont="1" applyFill="1" applyBorder="1"/>
    <xf numFmtId="0" fontId="9" fillId="7" borderId="27" xfId="0" applyFont="1" applyFill="1" applyBorder="1"/>
    <xf numFmtId="0" fontId="9" fillId="7" borderId="26" xfId="0" applyFont="1" applyFill="1" applyBorder="1"/>
    <xf numFmtId="0" fontId="9" fillId="7" borderId="26" xfId="0" applyFont="1" applyFill="1" applyBorder="1" applyAlignment="1">
      <alignment horizontal="center" vertical="center"/>
    </xf>
    <xf numFmtId="0" fontId="10" fillId="7" borderId="26" xfId="0" applyFont="1" applyFill="1" applyBorder="1"/>
    <xf numFmtId="0" fontId="10" fillId="7" borderId="28" xfId="0" applyFont="1" applyFill="1" applyBorder="1"/>
    <xf numFmtId="0" fontId="9" fillId="7" borderId="28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vertical="top"/>
    </xf>
    <xf numFmtId="0" fontId="9" fillId="7" borderId="24" xfId="0" applyFont="1" applyFill="1" applyBorder="1" applyAlignment="1">
      <alignment vertical="top"/>
    </xf>
    <xf numFmtId="0" fontId="9" fillId="7" borderId="24" xfId="0" applyFont="1" applyFill="1" applyBorder="1" applyAlignment="1">
      <alignment horizontal="left" vertical="top"/>
    </xf>
    <xf numFmtId="0" fontId="9" fillId="7" borderId="25" xfId="0" applyFont="1" applyFill="1" applyBorder="1" applyAlignment="1">
      <alignment horizontal="left" vertical="top"/>
    </xf>
    <xf numFmtId="0" fontId="9" fillId="7" borderId="25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vertical="top"/>
    </xf>
    <xf numFmtId="0" fontId="9" fillId="7" borderId="26" xfId="0" applyFont="1" applyFill="1" applyBorder="1" applyAlignment="1">
      <alignment vertical="top"/>
    </xf>
    <xf numFmtId="0" fontId="9" fillId="7" borderId="26" xfId="0" applyFont="1" applyFill="1" applyBorder="1" applyAlignment="1">
      <alignment horizontal="left" vertical="top"/>
    </xf>
    <xf numFmtId="0" fontId="9" fillId="7" borderId="28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13" fillId="2" borderId="4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165" fontId="13" fillId="7" borderId="50" xfId="0" applyNumberFormat="1" applyFont="1" applyFill="1" applyBorder="1" applyAlignment="1">
      <alignment vertical="center" wrapText="1"/>
    </xf>
    <xf numFmtId="165" fontId="13" fillId="7" borderId="51" xfId="0" applyNumberFormat="1" applyFont="1" applyFill="1" applyBorder="1" applyAlignment="1">
      <alignment vertical="center" wrapText="1"/>
    </xf>
    <xf numFmtId="0" fontId="14" fillId="7" borderId="52" xfId="0" applyFont="1" applyFill="1" applyBorder="1" applyAlignment="1">
      <alignment horizontal="left" vertical="center" wrapText="1" readingOrder="1"/>
    </xf>
    <xf numFmtId="0" fontId="14" fillId="7" borderId="1" xfId="0" applyFont="1" applyFill="1" applyBorder="1" applyAlignment="1">
      <alignment horizontal="left" vertical="center" wrapText="1" readingOrder="1"/>
    </xf>
    <xf numFmtId="164" fontId="14" fillId="7" borderId="1" xfId="0" applyNumberFormat="1" applyFont="1" applyFill="1" applyBorder="1" applyAlignment="1">
      <alignment horizontal="left" vertical="center" wrapText="1" readingOrder="1"/>
    </xf>
    <xf numFmtId="0" fontId="13" fillId="7" borderId="1" xfId="0" applyFont="1" applyFill="1" applyBorder="1" applyAlignment="1">
      <alignment horizontal="center" vertical="center" wrapText="1"/>
    </xf>
    <xf numFmtId="2" fontId="13" fillId="7" borderId="1" xfId="0" applyNumberFormat="1" applyFont="1" applyFill="1" applyBorder="1" applyAlignment="1">
      <alignment horizontal="center" vertical="center" wrapText="1"/>
    </xf>
    <xf numFmtId="165" fontId="15" fillId="7" borderId="53" xfId="0" applyNumberFormat="1" applyFont="1" applyFill="1" applyBorder="1" applyAlignment="1">
      <alignment horizontal="left" vertical="center" wrapText="1"/>
    </xf>
    <xf numFmtId="165" fontId="16" fillId="7" borderId="53" xfId="0" applyNumberFormat="1" applyFont="1" applyFill="1" applyBorder="1" applyAlignment="1">
      <alignment horizontal="left" vertical="center" wrapText="1"/>
    </xf>
    <xf numFmtId="0" fontId="13" fillId="7" borderId="54" xfId="0" applyFont="1" applyFill="1" applyBorder="1" applyAlignment="1">
      <alignment horizontal="left" vertical="center" wrapText="1" readingOrder="1"/>
    </xf>
    <xf numFmtId="0" fontId="13" fillId="7" borderId="55" xfId="0" applyFont="1" applyFill="1" applyBorder="1" applyAlignment="1">
      <alignment horizontal="left" vertical="center" wrapText="1" readingOrder="1"/>
    </xf>
    <xf numFmtId="0" fontId="13" fillId="7" borderId="55" xfId="0" applyFont="1" applyFill="1" applyBorder="1" applyAlignment="1">
      <alignment horizontal="center" vertical="center" wrapText="1"/>
    </xf>
    <xf numFmtId="2" fontId="13" fillId="7" borderId="55" xfId="0" applyNumberFormat="1" applyFont="1" applyFill="1" applyBorder="1" applyAlignment="1">
      <alignment horizontal="center" vertical="center" wrapText="1"/>
    </xf>
    <xf numFmtId="165" fontId="13" fillId="7" borderId="56" xfId="0" applyNumberFormat="1" applyFont="1" applyFill="1" applyBorder="1" applyAlignment="1">
      <alignment horizontal="left" vertical="center" wrapText="1"/>
    </xf>
    <xf numFmtId="165" fontId="14" fillId="7" borderId="57" xfId="0" applyNumberFormat="1" applyFont="1" applyFill="1" applyBorder="1" applyAlignment="1">
      <alignment horizontal="left" vertical="center" wrapText="1"/>
    </xf>
    <xf numFmtId="165" fontId="14" fillId="7" borderId="53" xfId="0" applyNumberFormat="1" applyFont="1" applyFill="1" applyBorder="1" applyAlignment="1">
      <alignment horizontal="left" vertical="center" wrapText="1"/>
    </xf>
    <xf numFmtId="0" fontId="13" fillId="7" borderId="26" xfId="0" applyFont="1" applyFill="1" applyBorder="1" applyAlignment="1">
      <alignment horizontal="left" vertical="center" wrapText="1" readingOrder="1"/>
    </xf>
    <xf numFmtId="0" fontId="13" fillId="7" borderId="28" xfId="0" applyFont="1" applyFill="1" applyBorder="1" applyAlignment="1">
      <alignment horizontal="left" vertical="center" wrapText="1" readingOrder="1"/>
    </xf>
    <xf numFmtId="0" fontId="14" fillId="7" borderId="52" xfId="0" applyFont="1" applyFill="1" applyBorder="1" applyAlignment="1">
      <alignment horizontal="left" vertical="center" readingOrder="1"/>
    </xf>
    <xf numFmtId="0" fontId="14" fillId="7" borderId="53" xfId="0" applyFont="1" applyFill="1" applyBorder="1" applyAlignment="1">
      <alignment horizontal="left" vertical="center" wrapText="1" readingOrder="1"/>
    </xf>
    <xf numFmtId="0" fontId="14" fillId="7" borderId="27" xfId="0" applyFont="1" applyFill="1" applyBorder="1" applyAlignment="1">
      <alignment horizontal="left" vertical="center" wrapText="1" readingOrder="1"/>
    </xf>
    <xf numFmtId="0" fontId="14" fillId="7" borderId="61" xfId="0" applyFont="1" applyFill="1" applyBorder="1" applyAlignment="1">
      <alignment horizontal="left" vertical="center" wrapText="1" readingOrder="1"/>
    </xf>
    <xf numFmtId="0" fontId="14" fillId="7" borderId="65" xfId="0" applyFont="1" applyFill="1" applyBorder="1" applyAlignment="1">
      <alignment horizontal="left" vertical="center" wrapText="1" readingOrder="1"/>
    </xf>
    <xf numFmtId="0" fontId="14" fillId="7" borderId="66" xfId="0" applyFont="1" applyFill="1" applyBorder="1" applyAlignment="1">
      <alignment horizontal="left" vertical="center" wrapText="1" readingOrder="1"/>
    </xf>
    <xf numFmtId="0" fontId="13" fillId="7" borderId="66" xfId="0" applyFont="1" applyFill="1" applyBorder="1" applyAlignment="1">
      <alignment horizontal="center" vertical="center" wrapText="1"/>
    </xf>
    <xf numFmtId="165" fontId="13" fillId="7" borderId="53" xfId="0" applyNumberFormat="1" applyFont="1" applyFill="1" applyBorder="1" applyAlignment="1">
      <alignment horizontal="left" vertical="center" wrapText="1"/>
    </xf>
    <xf numFmtId="165" fontId="13" fillId="7" borderId="57" xfId="0" applyNumberFormat="1" applyFont="1" applyFill="1" applyBorder="1" applyAlignment="1">
      <alignment horizontal="left" vertical="center" wrapText="1"/>
    </xf>
    <xf numFmtId="2" fontId="13" fillId="7" borderId="68" xfId="0" applyNumberFormat="1" applyFont="1" applyFill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left" vertical="center" wrapText="1"/>
    </xf>
    <xf numFmtId="165" fontId="13" fillId="7" borderId="55" xfId="0" applyNumberFormat="1" applyFont="1" applyFill="1" applyBorder="1" applyAlignment="1">
      <alignment vertical="center" wrapText="1"/>
    </xf>
    <xf numFmtId="165" fontId="13" fillId="7" borderId="56" xfId="0" applyNumberFormat="1" applyFont="1" applyFill="1" applyBorder="1" applyAlignment="1">
      <alignment vertical="center" wrapText="1"/>
    </xf>
    <xf numFmtId="0" fontId="14" fillId="7" borderId="69" xfId="0" applyFont="1" applyFill="1" applyBorder="1" applyAlignment="1">
      <alignment horizontal="left" vertical="center" wrapText="1" readingOrder="1"/>
    </xf>
    <xf numFmtId="0" fontId="13" fillId="7" borderId="61" xfId="0" applyFont="1" applyFill="1" applyBorder="1" applyAlignment="1">
      <alignment horizontal="center" vertical="center" wrapText="1"/>
    </xf>
    <xf numFmtId="2" fontId="13" fillId="7" borderId="61" xfId="0" applyNumberFormat="1" applyFont="1" applyFill="1" applyBorder="1" applyAlignment="1">
      <alignment horizontal="center" vertical="center" wrapText="1"/>
    </xf>
    <xf numFmtId="0" fontId="13" fillId="7" borderId="70" xfId="0" applyFont="1" applyFill="1" applyBorder="1" applyAlignment="1">
      <alignment horizontal="center" vertical="center" wrapText="1"/>
    </xf>
    <xf numFmtId="2" fontId="13" fillId="7" borderId="70" xfId="0" applyNumberFormat="1" applyFont="1" applyFill="1" applyBorder="1" applyAlignment="1">
      <alignment horizontal="center" vertical="center" wrapText="1"/>
    </xf>
    <xf numFmtId="165" fontId="13" fillId="7" borderId="71" xfId="0" applyNumberFormat="1" applyFont="1" applyFill="1" applyBorder="1" applyAlignment="1">
      <alignment horizontal="left" vertical="center" wrapText="1"/>
    </xf>
    <xf numFmtId="0" fontId="14" fillId="7" borderId="72" xfId="0" applyFont="1" applyFill="1" applyBorder="1" applyAlignment="1">
      <alignment horizontal="left" vertical="center" wrapText="1" readingOrder="1"/>
    </xf>
    <xf numFmtId="165" fontId="14" fillId="7" borderId="56" xfId="0" applyNumberFormat="1" applyFont="1" applyFill="1" applyBorder="1" applyAlignment="1">
      <alignment horizontal="left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left" vertical="center" wrapText="1" readingOrder="1"/>
    </xf>
    <xf numFmtId="2" fontId="13" fillId="7" borderId="66" xfId="0" applyNumberFormat="1" applyFont="1" applyFill="1" applyBorder="1" applyAlignment="1">
      <alignment horizontal="center" vertical="center" wrapText="1"/>
    </xf>
    <xf numFmtId="165" fontId="14" fillId="7" borderId="74" xfId="0" applyNumberFormat="1" applyFont="1" applyFill="1" applyBorder="1" applyAlignment="1">
      <alignment horizontal="left" vertical="center" wrapText="1"/>
    </xf>
    <xf numFmtId="0" fontId="14" fillId="7" borderId="75" xfId="0" applyFont="1" applyFill="1" applyBorder="1" applyAlignment="1">
      <alignment horizontal="left" vertical="center" wrapText="1" readingOrder="1"/>
    </xf>
    <xf numFmtId="0" fontId="14" fillId="7" borderId="43" xfId="0" applyFont="1" applyFill="1" applyBorder="1" applyAlignment="1">
      <alignment horizontal="left" vertical="center" wrapText="1" readingOrder="1"/>
    </xf>
    <xf numFmtId="164" fontId="14" fillId="7" borderId="43" xfId="0" applyNumberFormat="1" applyFont="1" applyFill="1" applyBorder="1" applyAlignment="1">
      <alignment horizontal="left" vertical="center" wrapText="1" readingOrder="1"/>
    </xf>
    <xf numFmtId="0" fontId="13" fillId="7" borderId="43" xfId="0" applyFont="1" applyFill="1" applyBorder="1" applyAlignment="1">
      <alignment horizontal="center" vertical="center" wrapText="1"/>
    </xf>
    <xf numFmtId="2" fontId="13" fillId="7" borderId="43" xfId="0" applyNumberFormat="1" applyFont="1" applyFill="1" applyBorder="1" applyAlignment="1">
      <alignment horizontal="center" vertical="center" wrapText="1"/>
    </xf>
    <xf numFmtId="165" fontId="13" fillId="7" borderId="76" xfId="0" applyNumberFormat="1" applyFont="1" applyFill="1" applyBorder="1" applyAlignment="1">
      <alignment horizontal="left" vertical="center" wrapText="1"/>
    </xf>
    <xf numFmtId="0" fontId="18" fillId="7" borderId="81" xfId="0" applyFont="1" applyFill="1" applyBorder="1" applyAlignment="1">
      <alignment vertical="top" wrapText="1"/>
    </xf>
    <xf numFmtId="2" fontId="18" fillId="7" borderId="50" xfId="0" applyNumberFormat="1" applyFont="1" applyFill="1" applyBorder="1" applyAlignment="1">
      <alignment horizontal="center" vertical="center" wrapText="1"/>
    </xf>
    <xf numFmtId="0" fontId="18" fillId="7" borderId="90" xfId="0" applyFont="1" applyFill="1" applyBorder="1" applyAlignment="1">
      <alignment vertical="top"/>
    </xf>
    <xf numFmtId="0" fontId="18" fillId="7" borderId="91" xfId="0" applyFont="1" applyFill="1" applyBorder="1" applyAlignment="1">
      <alignment horizontal="left" vertical="top"/>
    </xf>
    <xf numFmtId="0" fontId="18" fillId="7" borderId="24" xfId="0" applyFont="1" applyFill="1" applyBorder="1" applyAlignment="1">
      <alignment horizontal="left" vertical="top"/>
    </xf>
    <xf numFmtId="0" fontId="18" fillId="7" borderId="92" xfId="0" applyFont="1" applyFill="1" applyBorder="1" applyAlignment="1">
      <alignment horizontal="left" vertical="top"/>
    </xf>
    <xf numFmtId="0" fontId="18" fillId="7" borderId="24" xfId="0" applyFont="1" applyFill="1" applyBorder="1" applyAlignment="1">
      <alignment vertical="top"/>
    </xf>
    <xf numFmtId="0" fontId="18" fillId="7" borderId="92" xfId="0" applyFont="1" applyFill="1" applyBorder="1" applyAlignment="1">
      <alignment vertical="top"/>
    </xf>
    <xf numFmtId="0" fontId="18" fillId="7" borderId="25" xfId="0" applyFont="1" applyFill="1" applyBorder="1" applyAlignment="1">
      <alignment vertical="top"/>
    </xf>
    <xf numFmtId="0" fontId="18" fillId="7" borderId="69" xfId="0" applyFont="1" applyFill="1" applyBorder="1" applyAlignment="1">
      <alignment horizontal="center" vertical="top"/>
    </xf>
    <xf numFmtId="0" fontId="19" fillId="7" borderId="52" xfId="0" applyFont="1" applyFill="1" applyBorder="1" applyAlignment="1">
      <alignment horizontal="center" vertical="center"/>
    </xf>
    <xf numFmtId="0" fontId="20" fillId="7" borderId="75" xfId="0" applyFont="1" applyFill="1" applyBorder="1"/>
    <xf numFmtId="0" fontId="20" fillId="7" borderId="97" xfId="0" applyFont="1" applyFill="1" applyBorder="1" applyAlignment="1">
      <alignment horizontal="left"/>
    </xf>
    <xf numFmtId="0" fontId="20" fillId="7" borderId="100" xfId="0" applyFont="1" applyFill="1" applyBorder="1" applyAlignment="1">
      <alignment vertical="center"/>
    </xf>
    <xf numFmtId="0" fontId="20" fillId="7" borderId="42" xfId="0" applyFont="1" applyFill="1" applyBorder="1" applyAlignment="1">
      <alignment vertical="center"/>
    </xf>
    <xf numFmtId="0" fontId="20" fillId="7" borderId="97" xfId="0" applyFont="1" applyFill="1" applyBorder="1" applyAlignment="1">
      <alignment horizontal="left" vertical="center"/>
    </xf>
    <xf numFmtId="0" fontId="14" fillId="7" borderId="1" xfId="0" applyFont="1" applyFill="1" applyBorder="1" applyAlignment="1" applyProtection="1">
      <alignment horizontal="left" vertical="center" wrapText="1" readingOrder="1"/>
      <protection locked="0"/>
    </xf>
    <xf numFmtId="0" fontId="13" fillId="7" borderId="55" xfId="0" applyFont="1" applyFill="1" applyBorder="1" applyAlignment="1" applyProtection="1">
      <alignment horizontal="left" vertical="center" wrapText="1" readingOrder="1"/>
      <protection locked="0"/>
    </xf>
    <xf numFmtId="0" fontId="14" fillId="7" borderId="61" xfId="0" applyFont="1" applyFill="1" applyBorder="1" applyAlignment="1" applyProtection="1">
      <alignment horizontal="left" vertical="center" wrapText="1" readingOrder="1"/>
      <protection locked="0"/>
    </xf>
    <xf numFmtId="0" fontId="14" fillId="7" borderId="66" xfId="0" applyFont="1" applyFill="1" applyBorder="1" applyAlignment="1" applyProtection="1">
      <alignment horizontal="left" vertical="center" wrapText="1" readingOrder="1"/>
      <protection locked="0"/>
    </xf>
    <xf numFmtId="0" fontId="14" fillId="7" borderId="55" xfId="0" applyFont="1" applyFill="1" applyBorder="1" applyAlignment="1" applyProtection="1">
      <alignment horizontal="left" vertical="center" wrapText="1" readingOrder="1"/>
      <protection locked="0"/>
    </xf>
    <xf numFmtId="0" fontId="14" fillId="7" borderId="43" xfId="0" applyFont="1" applyFill="1" applyBorder="1" applyAlignment="1" applyProtection="1">
      <alignment horizontal="left" vertical="center" wrapText="1" readingOrder="1"/>
      <protection locked="0"/>
    </xf>
    <xf numFmtId="0" fontId="19" fillId="7" borderId="10" xfId="0" applyFont="1" applyFill="1" applyBorder="1" applyAlignment="1">
      <alignment horizontal="center" vertical="center"/>
    </xf>
    <xf numFmtId="0" fontId="2" fillId="0" borderId="48" xfId="0" applyFont="1" applyBorder="1"/>
    <xf numFmtId="0" fontId="2" fillId="0" borderId="11" xfId="0" applyFont="1" applyBorder="1"/>
    <xf numFmtId="0" fontId="2" fillId="0" borderId="67" xfId="0" applyFont="1" applyBorder="1"/>
    <xf numFmtId="0" fontId="20" fillId="7" borderId="98" xfId="0" applyFont="1" applyFill="1" applyBorder="1" applyAlignment="1">
      <alignment horizontal="center"/>
    </xf>
    <xf numFmtId="0" fontId="2" fillId="0" borderId="99" xfId="0" applyFont="1" applyBorder="1"/>
    <xf numFmtId="0" fontId="20" fillId="7" borderId="98" xfId="0" applyFont="1" applyFill="1" applyBorder="1" applyAlignment="1">
      <alignment horizontal="center" vertical="center"/>
    </xf>
    <xf numFmtId="0" fontId="2" fillId="0" borderId="33" xfId="0" applyFont="1" applyBorder="1"/>
    <xf numFmtId="0" fontId="13" fillId="7" borderId="47" xfId="0" applyFont="1" applyFill="1" applyBorder="1" applyAlignment="1">
      <alignment horizontal="left" vertical="center" wrapText="1" readingOrder="1"/>
    </xf>
    <xf numFmtId="0" fontId="2" fillId="0" borderId="49" xfId="0" applyFont="1" applyBorder="1"/>
    <xf numFmtId="0" fontId="13" fillId="7" borderId="14" xfId="0" applyFont="1" applyFill="1" applyBorder="1" applyAlignment="1">
      <alignment horizontal="left" vertical="center" wrapText="1" readingOrder="1"/>
    </xf>
    <xf numFmtId="0" fontId="2" fillId="0" borderId="15" xfId="0" applyFont="1" applyBorder="1"/>
    <xf numFmtId="0" fontId="2" fillId="0" borderId="16" xfId="0" applyFont="1" applyBorder="1"/>
    <xf numFmtId="0" fontId="13" fillId="7" borderId="73" xfId="0" applyFont="1" applyFill="1" applyBorder="1" applyAlignment="1">
      <alignment horizontal="center" vertical="center" wrapText="1"/>
    </xf>
    <xf numFmtId="0" fontId="18" fillId="7" borderId="93" xfId="0" applyFont="1" applyFill="1" applyBorder="1" applyAlignment="1">
      <alignment horizontal="center" vertical="top"/>
    </xf>
    <xf numFmtId="0" fontId="2" fillId="0" borderId="94" xfId="0" applyFont="1" applyBorder="1"/>
    <xf numFmtId="0" fontId="18" fillId="7" borderId="95" xfId="0" applyFont="1" applyFill="1" applyBorder="1" applyAlignment="1">
      <alignment horizontal="center" vertical="top"/>
    </xf>
    <xf numFmtId="0" fontId="2" fillId="0" borderId="63" xfId="0" applyFont="1" applyBorder="1"/>
    <xf numFmtId="0" fontId="2" fillId="0" borderId="96" xfId="0" applyFont="1" applyBorder="1"/>
    <xf numFmtId="0" fontId="14" fillId="8" borderId="47" xfId="0" applyFont="1" applyFill="1" applyBorder="1" applyAlignment="1">
      <alignment horizontal="left" vertical="center" wrapText="1"/>
    </xf>
    <xf numFmtId="0" fontId="13" fillId="7" borderId="58" xfId="0" applyFont="1" applyFill="1" applyBorder="1" applyAlignment="1">
      <alignment horizontal="left" vertical="center" wrapText="1" readingOrder="1"/>
    </xf>
    <xf numFmtId="0" fontId="2" fillId="0" borderId="59" xfId="0" applyFont="1" applyBorder="1"/>
    <xf numFmtId="0" fontId="2" fillId="0" borderId="60" xfId="0" applyFont="1" applyBorder="1"/>
    <xf numFmtId="0" fontId="17" fillId="7" borderId="77" xfId="0" applyFont="1" applyFill="1" applyBorder="1" applyAlignment="1">
      <alignment horizontal="left" vertical="top"/>
    </xf>
    <xf numFmtId="0" fontId="2" fillId="0" borderId="21" xfId="0" applyFont="1" applyBorder="1"/>
    <xf numFmtId="0" fontId="2" fillId="0" borderId="78" xfId="0" applyFont="1" applyBorder="1"/>
    <xf numFmtId="0" fontId="2" fillId="0" borderId="83" xfId="0" applyFont="1" applyBorder="1"/>
    <xf numFmtId="0" fontId="2" fillId="0" borderId="84" xfId="0" applyFont="1" applyBorder="1"/>
    <xf numFmtId="0" fontId="2" fillId="0" borderId="85" xfId="0" applyFont="1" applyBorder="1"/>
    <xf numFmtId="0" fontId="14" fillId="7" borderId="79" xfId="0" applyFont="1" applyFill="1" applyBorder="1" applyAlignment="1">
      <alignment horizontal="center" wrapText="1"/>
    </xf>
    <xf numFmtId="0" fontId="2" fillId="0" borderId="80" xfId="0" applyFont="1" applyBorder="1"/>
    <xf numFmtId="0" fontId="2" fillId="0" borderId="86" xfId="0" applyFont="1" applyBorder="1"/>
    <xf numFmtId="0" fontId="2" fillId="0" borderId="87" xfId="0" applyFont="1" applyBorder="1"/>
    <xf numFmtId="0" fontId="18" fillId="7" borderId="82" xfId="0" applyFont="1" applyFill="1" applyBorder="1" applyAlignment="1">
      <alignment horizontal="center" vertical="top" wrapText="1"/>
    </xf>
    <xf numFmtId="0" fontId="2" fillId="0" borderId="46" xfId="0" applyFont="1" applyBorder="1"/>
    <xf numFmtId="0" fontId="18" fillId="7" borderId="88" xfId="0" applyFont="1" applyFill="1" applyBorder="1" applyAlignment="1">
      <alignment horizontal="center" vertical="center" wrapText="1"/>
    </xf>
    <xf numFmtId="0" fontId="2" fillId="0" borderId="89" xfId="0" applyFont="1" applyBorder="1"/>
    <xf numFmtId="0" fontId="13" fillId="7" borderId="62" xfId="0" applyFont="1" applyFill="1" applyBorder="1" applyAlignment="1">
      <alignment horizontal="left" vertical="center" wrapText="1" readingOrder="1"/>
    </xf>
    <xf numFmtId="0" fontId="2" fillId="0" borderId="64" xfId="0" applyFont="1" applyBorder="1"/>
    <xf numFmtId="0" fontId="14" fillId="8" borderId="45" xfId="0" applyFont="1" applyFill="1" applyBorder="1" applyAlignment="1">
      <alignment horizontal="left" vertical="center" wrapText="1"/>
    </xf>
    <xf numFmtId="0" fontId="2" fillId="0" borderId="37" xfId="0" applyFont="1" applyBorder="1"/>
    <xf numFmtId="165" fontId="13" fillId="7" borderId="47" xfId="0" applyNumberFormat="1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center"/>
    </xf>
    <xf numFmtId="0" fontId="2" fillId="0" borderId="18" xfId="0" applyFont="1" applyBorder="1"/>
    <xf numFmtId="0" fontId="12" fillId="7" borderId="14" xfId="0" applyFont="1" applyFill="1" applyBorder="1" applyAlignment="1">
      <alignment horizontal="center" vertical="top"/>
    </xf>
    <xf numFmtId="0" fontId="12" fillId="7" borderId="14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/>
    </xf>
    <xf numFmtId="0" fontId="2" fillId="0" borderId="32" xfId="0" applyFont="1" applyBorder="1"/>
    <xf numFmtId="0" fontId="13" fillId="2" borderId="34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13" fillId="2" borderId="35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13" fillId="2" borderId="36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3" fillId="2" borderId="39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1" fillId="2" borderId="10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4" borderId="8" xfId="0" applyFont="1" applyFill="1" applyBorder="1" applyAlignment="1">
      <alignment horizont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3" xfId="0" applyFont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4</xdr:row>
      <xdr:rowOff>66675</xdr:rowOff>
    </xdr:from>
    <xdr:ext cx="2400300" cy="1019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50613" y="3275175"/>
          <a:ext cx="2390775" cy="10096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Please insert details according to the table below.</a:t>
          </a:r>
          <a:endParaRPr sz="11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82</xdr:row>
      <xdr:rowOff>171450</xdr:rowOff>
    </xdr:from>
    <xdr:ext cx="1019175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41175" y="3418050"/>
          <a:ext cx="1009650" cy="7239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RATING SCALE: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5 - Outstanding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4 - Very Satisfactory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3 - Satisfactory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2- Unsatisfactory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1 - Poor</a:t>
          </a:r>
          <a:endParaRPr sz="8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N74" sqref="N74"/>
    </sheetView>
  </sheetViews>
  <sheetFormatPr defaultColWidth="14.42578125" defaultRowHeight="15" customHeight="1" x14ac:dyDescent="0.25"/>
  <cols>
    <col min="1" max="1" width="19.42578125" customWidth="1"/>
    <col min="2" max="2" width="9.7109375" customWidth="1"/>
    <col min="3" max="3" width="13.28515625" customWidth="1"/>
    <col min="4" max="4" width="16.28515625" customWidth="1"/>
    <col min="5" max="5" width="16" customWidth="1"/>
    <col min="6" max="7" width="9" customWidth="1"/>
    <col min="8" max="8" width="10.42578125" customWidth="1"/>
    <col min="9" max="11" width="9" customWidth="1"/>
    <col min="12" max="12" width="10.42578125" customWidth="1"/>
    <col min="13" max="13" width="17.42578125" customWidth="1"/>
    <col min="14" max="26" width="9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B2" s="1" t="s">
        <v>2</v>
      </c>
    </row>
    <row r="3" spans="1:13" x14ac:dyDescent="0.25">
      <c r="B3" s="1" t="s">
        <v>3</v>
      </c>
    </row>
    <row r="6" spans="1:13" x14ac:dyDescent="0.25">
      <c r="D6" s="2" t="s">
        <v>4</v>
      </c>
      <c r="E6" s="3">
        <v>0.72</v>
      </c>
    </row>
    <row r="7" spans="1:13" x14ac:dyDescent="0.25">
      <c r="D7" s="2" t="s">
        <v>5</v>
      </c>
      <c r="E7" s="3">
        <v>0.04</v>
      </c>
    </row>
    <row r="8" spans="1:13" x14ac:dyDescent="0.25">
      <c r="D8" s="2" t="s">
        <v>6</v>
      </c>
      <c r="E8" s="3">
        <v>0.04</v>
      </c>
    </row>
    <row r="9" spans="1:13" x14ac:dyDescent="0.25">
      <c r="D9" s="2" t="s">
        <v>7</v>
      </c>
      <c r="E9" s="3">
        <v>0.2</v>
      </c>
    </row>
    <row r="10" spans="1:13" x14ac:dyDescent="0.25">
      <c r="D10" s="2" t="s">
        <v>8</v>
      </c>
      <c r="E10" s="3"/>
      <c r="G10" s="191" t="s">
        <v>9</v>
      </c>
      <c r="H10" s="181"/>
      <c r="I10" s="181"/>
      <c r="J10" s="181"/>
      <c r="K10" s="181"/>
      <c r="L10" s="181"/>
      <c r="M10" s="182"/>
    </row>
    <row r="11" spans="1:13" x14ac:dyDescent="0.25">
      <c r="G11" s="183" t="s">
        <v>10</v>
      </c>
      <c r="H11" s="184"/>
      <c r="I11" s="185"/>
      <c r="K11" s="186" t="s">
        <v>11</v>
      </c>
      <c r="L11" s="184"/>
      <c r="M11" s="187"/>
    </row>
    <row r="12" spans="1:13" x14ac:dyDescent="0.25">
      <c r="D12" s="177" t="s">
        <v>12</v>
      </c>
      <c r="E12" s="123"/>
      <c r="G12" s="4"/>
      <c r="H12" s="5" t="s">
        <v>4</v>
      </c>
      <c r="I12" s="3">
        <v>0.72</v>
      </c>
      <c r="J12" s="1"/>
      <c r="L12" s="5" t="s">
        <v>4</v>
      </c>
      <c r="M12" s="3">
        <v>0.48</v>
      </c>
    </row>
    <row r="13" spans="1:13" x14ac:dyDescent="0.25">
      <c r="D13" s="6" t="s">
        <v>13</v>
      </c>
      <c r="E13" s="6" t="s">
        <v>14</v>
      </c>
      <c r="G13" s="4"/>
      <c r="H13" s="5" t="s">
        <v>5</v>
      </c>
      <c r="I13" s="3">
        <v>0.04</v>
      </c>
      <c r="L13" s="5" t="s">
        <v>5</v>
      </c>
      <c r="M13" s="3">
        <v>0.24</v>
      </c>
    </row>
    <row r="14" spans="1:13" x14ac:dyDescent="0.25">
      <c r="D14" s="7">
        <v>5</v>
      </c>
      <c r="E14" s="8" t="s">
        <v>15</v>
      </c>
      <c r="G14" s="4"/>
      <c r="H14" s="5" t="s">
        <v>6</v>
      </c>
      <c r="I14" s="3">
        <v>0.04</v>
      </c>
      <c r="L14" s="5" t="s">
        <v>6</v>
      </c>
      <c r="M14" s="3">
        <v>0.08</v>
      </c>
    </row>
    <row r="15" spans="1:13" x14ac:dyDescent="0.25">
      <c r="D15" s="7">
        <v>4</v>
      </c>
      <c r="E15" s="8" t="s">
        <v>16</v>
      </c>
      <c r="G15" s="4"/>
      <c r="H15" s="5" t="s">
        <v>7</v>
      </c>
      <c r="I15" s="3">
        <v>0.2</v>
      </c>
      <c r="L15" s="5" t="s">
        <v>7</v>
      </c>
      <c r="M15" s="3">
        <v>0.2</v>
      </c>
    </row>
    <row r="16" spans="1:13" x14ac:dyDescent="0.25">
      <c r="D16" s="7">
        <v>3</v>
      </c>
      <c r="E16" s="8" t="s">
        <v>17</v>
      </c>
      <c r="G16" s="4"/>
      <c r="M16" s="9"/>
    </row>
    <row r="17" spans="4:14" x14ac:dyDescent="0.25">
      <c r="D17" s="7">
        <v>2</v>
      </c>
      <c r="E17" s="8" t="s">
        <v>18</v>
      </c>
      <c r="G17" s="178" t="s">
        <v>19</v>
      </c>
      <c r="H17" s="132"/>
      <c r="I17" s="133"/>
      <c r="K17" s="179" t="s">
        <v>20</v>
      </c>
      <c r="L17" s="132"/>
      <c r="M17" s="164"/>
    </row>
    <row r="18" spans="4:14" x14ac:dyDescent="0.25">
      <c r="D18" s="7">
        <v>1</v>
      </c>
      <c r="E18" s="8" t="s">
        <v>21</v>
      </c>
      <c r="G18" s="4"/>
      <c r="H18" s="5" t="s">
        <v>4</v>
      </c>
      <c r="I18" s="3">
        <v>0.64</v>
      </c>
      <c r="L18" s="5" t="s">
        <v>4</v>
      </c>
      <c r="M18" s="3">
        <v>0.32</v>
      </c>
    </row>
    <row r="19" spans="4:14" ht="15" customHeight="1" x14ac:dyDescent="0.35">
      <c r="F19" s="10"/>
      <c r="G19" s="4"/>
      <c r="H19" s="5" t="s">
        <v>5</v>
      </c>
      <c r="I19" s="3">
        <v>0.08</v>
      </c>
      <c r="J19" s="10"/>
      <c r="L19" s="5" t="s">
        <v>5</v>
      </c>
      <c r="M19" s="3">
        <v>0.4</v>
      </c>
      <c r="N19" s="10"/>
    </row>
    <row r="20" spans="4:14" x14ac:dyDescent="0.25">
      <c r="G20" s="4"/>
      <c r="H20" s="5" t="s">
        <v>6</v>
      </c>
      <c r="I20" s="3">
        <v>0.08</v>
      </c>
      <c r="L20" s="5" t="s">
        <v>6</v>
      </c>
      <c r="M20" s="3">
        <v>0.08</v>
      </c>
    </row>
    <row r="21" spans="4:14" ht="15.75" customHeight="1" x14ac:dyDescent="0.25">
      <c r="G21" s="11"/>
      <c r="H21" s="5" t="s">
        <v>7</v>
      </c>
      <c r="I21" s="3">
        <v>0.2</v>
      </c>
      <c r="J21" s="12"/>
      <c r="K21" s="12"/>
      <c r="L21" s="5" t="s">
        <v>7</v>
      </c>
      <c r="M21" s="3">
        <v>0.2</v>
      </c>
    </row>
    <row r="22" spans="4:14" ht="15.75" customHeight="1" x14ac:dyDescent="0.25">
      <c r="D22" s="13"/>
      <c r="E22" s="13"/>
      <c r="F22" s="13"/>
      <c r="M22" s="13"/>
      <c r="N22" s="13"/>
    </row>
    <row r="23" spans="4:14" ht="15.75" customHeight="1" x14ac:dyDescent="0.25">
      <c r="D23" s="13"/>
      <c r="E23" s="13"/>
      <c r="F23" s="13"/>
      <c r="M23" s="13"/>
    </row>
    <row r="24" spans="4:14" ht="15.75" customHeight="1" x14ac:dyDescent="0.25">
      <c r="D24" s="13"/>
      <c r="E24" s="13"/>
      <c r="F24" s="13"/>
      <c r="G24" s="180" t="s">
        <v>22</v>
      </c>
      <c r="H24" s="181"/>
      <c r="I24" s="181"/>
      <c r="J24" s="181"/>
      <c r="K24" s="181"/>
      <c r="L24" s="181"/>
      <c r="M24" s="182"/>
      <c r="N24" s="13"/>
    </row>
    <row r="25" spans="4:14" ht="15.75" customHeight="1" x14ac:dyDescent="0.25">
      <c r="D25" s="13"/>
      <c r="E25" s="13"/>
      <c r="F25" s="13"/>
      <c r="G25" s="183" t="s">
        <v>23</v>
      </c>
      <c r="H25" s="184"/>
      <c r="I25" s="185"/>
      <c r="J25" s="14"/>
      <c r="K25" s="186" t="s">
        <v>24</v>
      </c>
      <c r="L25" s="184"/>
      <c r="M25" s="187"/>
      <c r="N25" s="13"/>
    </row>
    <row r="26" spans="4:14" ht="15.75" customHeight="1" x14ac:dyDescent="0.25">
      <c r="G26" s="4"/>
      <c r="H26" s="5" t="s">
        <v>4</v>
      </c>
      <c r="I26" s="3">
        <v>0.4</v>
      </c>
      <c r="J26" s="1"/>
      <c r="L26" s="5" t="s">
        <v>4</v>
      </c>
      <c r="M26" s="3">
        <v>0.24</v>
      </c>
      <c r="N26" s="13"/>
    </row>
    <row r="27" spans="4:14" ht="15.75" customHeight="1" x14ac:dyDescent="0.25">
      <c r="G27" s="4"/>
      <c r="H27" s="5" t="s">
        <v>5</v>
      </c>
      <c r="I27" s="3">
        <v>8.0000000000000016E-2</v>
      </c>
      <c r="L27" s="5" t="s">
        <v>5</v>
      </c>
      <c r="M27" s="3">
        <v>8.0000000000000016E-2</v>
      </c>
    </row>
    <row r="28" spans="4:14" ht="15.75" customHeight="1" x14ac:dyDescent="0.25">
      <c r="D28" s="13"/>
      <c r="E28" s="13"/>
      <c r="F28" s="13"/>
      <c r="G28" s="4"/>
      <c r="H28" s="5" t="s">
        <v>6</v>
      </c>
      <c r="I28" s="3">
        <v>8.0000000000000016E-2</v>
      </c>
      <c r="L28" s="5" t="s">
        <v>6</v>
      </c>
      <c r="M28" s="3">
        <v>8.0000000000000016E-2</v>
      </c>
    </row>
    <row r="29" spans="4:14" ht="15.75" customHeight="1" x14ac:dyDescent="0.25">
      <c r="D29" s="13"/>
      <c r="E29" s="13"/>
      <c r="G29" s="4"/>
      <c r="H29" s="5" t="s">
        <v>7</v>
      </c>
      <c r="I29" s="3">
        <v>0.2</v>
      </c>
      <c r="L29" s="5" t="s">
        <v>7</v>
      </c>
      <c r="M29" s="3">
        <v>0.2</v>
      </c>
      <c r="N29" s="13"/>
    </row>
    <row r="30" spans="4:14" ht="15.75" customHeight="1" x14ac:dyDescent="0.25">
      <c r="D30" s="13"/>
      <c r="E30" s="13"/>
      <c r="G30" s="4"/>
      <c r="H30" s="5" t="s">
        <v>8</v>
      </c>
      <c r="I30" s="3">
        <v>0.24</v>
      </c>
      <c r="L30" s="5" t="s">
        <v>8</v>
      </c>
      <c r="M30" s="3">
        <v>0.4</v>
      </c>
    </row>
    <row r="31" spans="4:14" ht="15.75" customHeight="1" x14ac:dyDescent="0.25">
      <c r="D31" s="13"/>
      <c r="E31" s="13"/>
      <c r="F31" s="13"/>
      <c r="G31" s="178" t="s">
        <v>25</v>
      </c>
      <c r="H31" s="132"/>
      <c r="I31" s="133"/>
      <c r="K31" s="188"/>
      <c r="L31" s="189"/>
      <c r="M31" s="190"/>
      <c r="N31" s="13"/>
    </row>
    <row r="32" spans="4:14" ht="15.75" customHeight="1" x14ac:dyDescent="0.25">
      <c r="E32" s="13"/>
      <c r="F32" s="13"/>
      <c r="G32" s="4"/>
      <c r="H32" s="5" t="s">
        <v>4</v>
      </c>
      <c r="I32" s="3">
        <v>8.0000000000000016E-2</v>
      </c>
      <c r="M32" s="15"/>
      <c r="N32" s="13"/>
    </row>
    <row r="33" spans="1:14" ht="14.25" customHeight="1" x14ac:dyDescent="0.35">
      <c r="G33" s="4"/>
      <c r="H33" s="5" t="s">
        <v>5</v>
      </c>
      <c r="I33" s="3">
        <v>4.0000000000000008E-2</v>
      </c>
      <c r="J33" s="10"/>
      <c r="M33" s="15"/>
      <c r="N33" s="13"/>
    </row>
    <row r="34" spans="1:14" ht="15.75" customHeight="1" x14ac:dyDescent="0.25">
      <c r="A34" s="16"/>
      <c r="B34" s="16"/>
      <c r="D34" s="13"/>
      <c r="E34" s="13"/>
      <c r="F34" s="13"/>
      <c r="G34" s="4"/>
      <c r="H34" s="5" t="s">
        <v>6</v>
      </c>
      <c r="I34" s="3">
        <v>4.0000000000000008E-2</v>
      </c>
      <c r="M34" s="15"/>
    </row>
    <row r="35" spans="1:14" ht="15.75" customHeight="1" x14ac:dyDescent="0.25">
      <c r="A35" s="16" t="s">
        <v>26</v>
      </c>
      <c r="B35" s="16"/>
      <c r="C35" s="1"/>
      <c r="D35" s="13"/>
      <c r="E35" s="13"/>
      <c r="F35" s="13"/>
      <c r="G35" s="4"/>
      <c r="H35" s="5" t="s">
        <v>7</v>
      </c>
      <c r="I35" s="3">
        <v>0.2</v>
      </c>
      <c r="M35" s="15"/>
    </row>
    <row r="36" spans="1:14" ht="15.75" customHeight="1" x14ac:dyDescent="0.25">
      <c r="A36" s="17">
        <v>44562</v>
      </c>
      <c r="B36" s="16"/>
      <c r="C36" s="18"/>
      <c r="D36" s="13"/>
      <c r="E36" s="13"/>
      <c r="F36" s="13"/>
      <c r="G36" s="11"/>
      <c r="H36" s="5" t="s">
        <v>8</v>
      </c>
      <c r="I36" s="3">
        <v>0.64</v>
      </c>
      <c r="J36" s="12"/>
      <c r="K36" s="12"/>
      <c r="L36" s="12"/>
      <c r="M36" s="19"/>
      <c r="N36" s="13"/>
    </row>
    <row r="37" spans="1:14" ht="15.75" customHeight="1" x14ac:dyDescent="0.25">
      <c r="A37" s="17">
        <v>44593</v>
      </c>
      <c r="B37" s="16"/>
      <c r="C37" s="20"/>
      <c r="D37" s="21"/>
      <c r="E37" s="21"/>
      <c r="F37" s="21"/>
      <c r="G37" s="16"/>
      <c r="M37" s="13"/>
    </row>
    <row r="38" spans="1:14" ht="15.75" customHeight="1" x14ac:dyDescent="0.25">
      <c r="A38" s="17">
        <v>44617</v>
      </c>
      <c r="B38" s="16"/>
      <c r="C38" s="20"/>
      <c r="D38" s="16"/>
      <c r="E38" s="16"/>
      <c r="F38" s="16"/>
      <c r="G38" s="16"/>
      <c r="M38" s="13"/>
      <c r="N38" s="13"/>
    </row>
    <row r="39" spans="1:14" ht="15.75" customHeight="1" x14ac:dyDescent="0.25">
      <c r="A39" s="17">
        <v>44660</v>
      </c>
      <c r="B39" s="16"/>
      <c r="C39" s="20"/>
      <c r="D39" s="16"/>
      <c r="E39" s="16"/>
      <c r="F39" s="16"/>
      <c r="G39" s="16"/>
      <c r="M39" s="13"/>
      <c r="N39" s="13"/>
    </row>
    <row r="40" spans="1:14" ht="15.75" customHeight="1" x14ac:dyDescent="0.25">
      <c r="A40" s="17">
        <v>44665</v>
      </c>
      <c r="B40" s="16"/>
      <c r="C40" s="20"/>
      <c r="D40" s="21"/>
      <c r="E40" s="21"/>
      <c r="F40" s="21"/>
      <c r="G40" s="16"/>
      <c r="M40" s="13"/>
      <c r="N40" s="13"/>
    </row>
    <row r="41" spans="1:14" ht="15.75" customHeight="1" x14ac:dyDescent="0.25">
      <c r="A41" s="17">
        <v>44666</v>
      </c>
      <c r="B41" s="16"/>
      <c r="C41" s="20"/>
      <c r="D41" s="21"/>
      <c r="E41" s="21"/>
      <c r="F41" s="21"/>
      <c r="G41" s="16"/>
    </row>
    <row r="42" spans="1:14" ht="15.75" customHeight="1" x14ac:dyDescent="0.25">
      <c r="A42" s="17">
        <v>44667</v>
      </c>
      <c r="B42" s="16"/>
      <c r="C42" s="20"/>
      <c r="D42" s="21"/>
      <c r="E42" s="21"/>
      <c r="F42" s="21"/>
      <c r="G42" s="16"/>
    </row>
    <row r="43" spans="1:14" ht="15.75" customHeight="1" x14ac:dyDescent="0.25">
      <c r="A43" s="17">
        <v>44682</v>
      </c>
      <c r="B43" s="16"/>
      <c r="C43" s="20"/>
      <c r="D43" s="21"/>
      <c r="E43" s="21"/>
      <c r="F43" s="21"/>
      <c r="G43" s="16"/>
    </row>
    <row r="44" spans="1:14" ht="15.75" customHeight="1" x14ac:dyDescent="0.25">
      <c r="A44" s="17">
        <v>44684</v>
      </c>
      <c r="B44" s="16"/>
      <c r="C44" s="20"/>
      <c r="D44" s="16"/>
      <c r="E44" s="21"/>
      <c r="F44" s="21"/>
      <c r="G44" s="16"/>
    </row>
    <row r="45" spans="1:14" ht="15.75" customHeight="1" x14ac:dyDescent="0.25">
      <c r="A45" s="17">
        <v>44724</v>
      </c>
      <c r="B45" s="16"/>
      <c r="C45" s="20"/>
      <c r="D45" s="16"/>
      <c r="E45" s="16"/>
      <c r="F45" s="16"/>
      <c r="G45" s="16"/>
      <c r="H45" s="1"/>
    </row>
    <row r="46" spans="1:14" ht="15.75" customHeight="1" x14ac:dyDescent="0.25">
      <c r="A46" s="17">
        <v>44903</v>
      </c>
      <c r="B46" s="16">
        <v>0</v>
      </c>
      <c r="C46" s="20"/>
      <c r="D46" s="16">
        <v>0.5</v>
      </c>
      <c r="E46" s="21">
        <v>0.75</v>
      </c>
      <c r="F46" s="16">
        <v>0.85</v>
      </c>
      <c r="G46" s="16">
        <v>1</v>
      </c>
      <c r="H46" s="1"/>
    </row>
    <row r="47" spans="1:14" ht="15.75" customHeight="1" x14ac:dyDescent="0.25">
      <c r="A47" s="17">
        <v>44919</v>
      </c>
      <c r="B47" s="16">
        <v>0</v>
      </c>
      <c r="C47" s="20"/>
      <c r="D47" s="16">
        <v>0.75</v>
      </c>
      <c r="E47" s="16">
        <v>1</v>
      </c>
      <c r="F47" s="16">
        <v>1.1499999999999999</v>
      </c>
      <c r="G47" s="16">
        <v>1.5</v>
      </c>
      <c r="H47" s="1"/>
    </row>
    <row r="48" spans="1:14" ht="15.75" customHeight="1" x14ac:dyDescent="0.25">
      <c r="A48" s="17">
        <v>44920</v>
      </c>
      <c r="B48" s="16">
        <v>1</v>
      </c>
      <c r="C48" s="20"/>
      <c r="D48" s="16">
        <v>2</v>
      </c>
      <c r="E48" s="16">
        <v>3</v>
      </c>
      <c r="F48" s="16">
        <v>4</v>
      </c>
      <c r="G48" s="16">
        <v>5</v>
      </c>
      <c r="H48" s="1"/>
    </row>
    <row r="49" spans="1:8" ht="15.75" customHeight="1" x14ac:dyDescent="0.25">
      <c r="A49" s="17">
        <v>44925</v>
      </c>
      <c r="B49" s="16">
        <v>-999</v>
      </c>
      <c r="C49" s="20"/>
      <c r="D49" s="16">
        <v>-6</v>
      </c>
      <c r="E49" s="16">
        <v>0</v>
      </c>
      <c r="F49" s="16">
        <v>3</v>
      </c>
      <c r="G49" s="16">
        <v>5</v>
      </c>
      <c r="H49" s="1"/>
    </row>
    <row r="50" spans="1:8" ht="15.75" customHeight="1" x14ac:dyDescent="0.25">
      <c r="A50" s="17">
        <v>44926</v>
      </c>
      <c r="B50" s="16" t="s">
        <v>27</v>
      </c>
      <c r="C50" s="20"/>
      <c r="D50" s="16" t="s">
        <v>28</v>
      </c>
      <c r="E50" s="16" t="s">
        <v>29</v>
      </c>
      <c r="F50" s="16" t="s">
        <v>30</v>
      </c>
      <c r="G50" s="16" t="s">
        <v>31</v>
      </c>
      <c r="H50" s="1"/>
    </row>
    <row r="51" spans="1:8" ht="15.75" customHeight="1" x14ac:dyDescent="0.25">
      <c r="A51" s="16"/>
      <c r="B51" s="16">
        <v>0</v>
      </c>
      <c r="C51" s="22"/>
      <c r="D51" s="16">
        <v>1.5</v>
      </c>
      <c r="E51" s="16">
        <v>2.5</v>
      </c>
      <c r="F51" s="16">
        <v>3.5</v>
      </c>
      <c r="G51" s="16">
        <v>4.5</v>
      </c>
      <c r="H51" s="16"/>
    </row>
    <row r="52" spans="1:8" ht="15.75" customHeight="1" x14ac:dyDescent="0.25">
      <c r="A52" s="23"/>
      <c r="C52" s="22"/>
      <c r="D52" s="23"/>
      <c r="E52" s="23"/>
      <c r="F52" s="23"/>
      <c r="G52" s="23"/>
      <c r="H52" s="16"/>
    </row>
    <row r="53" spans="1:8" ht="15.75" customHeight="1" x14ac:dyDescent="0.25">
      <c r="A53" s="23"/>
      <c r="C53" s="22"/>
      <c r="D53" s="23"/>
      <c r="E53" s="23"/>
    </row>
    <row r="54" spans="1:8" ht="15.75" customHeight="1" x14ac:dyDescent="0.25">
      <c r="A54" s="23"/>
      <c r="C54" s="22"/>
      <c r="D54" s="23"/>
      <c r="E54" s="23"/>
    </row>
    <row r="55" spans="1:8" ht="15.75" customHeight="1" x14ac:dyDescent="0.25">
      <c r="A55" s="23"/>
      <c r="C55" s="22"/>
      <c r="D55" s="23"/>
      <c r="E55" s="23"/>
    </row>
    <row r="56" spans="1:8" ht="15.75" customHeight="1" x14ac:dyDescent="0.25">
      <c r="A56" s="23"/>
      <c r="C56" s="22"/>
      <c r="D56" s="23"/>
      <c r="E56" s="23"/>
    </row>
    <row r="57" spans="1:8" ht="15.75" customHeight="1" x14ac:dyDescent="0.25">
      <c r="A57" s="23"/>
      <c r="B57" s="23"/>
      <c r="C57" s="23"/>
      <c r="D57" s="23"/>
      <c r="E57" s="23"/>
    </row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x30mJtPuYGTV7Z72zVyJ+KRnlHVZpTTmyXBT15aa+U+syNJJ0ki8fOkK2d98gCGENoLl4X4LoIL0/mh2EKzv+Q==" saltValue="ZkwyJaMIZSVSRCf3UNHWLQ==" spinCount="100000" sheet="1" objects="1" scenarios="1" formatCells="0" formatColumns="0" formatRows="0"/>
  <mergeCells count="11">
    <mergeCell ref="G31:I31"/>
    <mergeCell ref="K31:M31"/>
    <mergeCell ref="G10:M10"/>
    <mergeCell ref="G11:I11"/>
    <mergeCell ref="K11:M11"/>
    <mergeCell ref="D12:E12"/>
    <mergeCell ref="G17:I17"/>
    <mergeCell ref="K17:M17"/>
    <mergeCell ref="G24:M24"/>
    <mergeCell ref="G25:I25"/>
    <mergeCell ref="K25:M25"/>
  </mergeCells>
  <pageMargins left="0.69930555555555596" right="0.69930555555555596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selection activeCell="C7" sqref="C7"/>
    </sheetView>
  </sheetViews>
  <sheetFormatPr defaultColWidth="14.42578125" defaultRowHeight="15" customHeight="1" x14ac:dyDescent="0.25"/>
  <cols>
    <col min="1" max="1" width="38.42578125" customWidth="1"/>
    <col min="2" max="2" width="8.7109375" customWidth="1"/>
    <col min="3" max="3" width="13.42578125" customWidth="1"/>
    <col min="4" max="5" width="15.140625" customWidth="1"/>
    <col min="6" max="7" width="8.7109375" customWidth="1"/>
    <col min="8" max="8" width="9.85546875" customWidth="1"/>
    <col min="9" max="9" width="8.7109375" customWidth="1"/>
    <col min="10" max="10" width="24.7109375" customWidth="1"/>
    <col min="11" max="26" width="8.7109375" customWidth="1"/>
  </cols>
  <sheetData>
    <row r="1" spans="1:26" x14ac:dyDescent="0.25">
      <c r="A1" s="24"/>
      <c r="B1" s="25"/>
      <c r="C1" s="25"/>
      <c r="D1" s="25"/>
      <c r="E1" s="25"/>
      <c r="F1" s="25"/>
      <c r="G1" s="26"/>
      <c r="H1" s="27"/>
      <c r="I1" s="26"/>
      <c r="J1" s="28" t="s">
        <v>32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5">
      <c r="A2" s="30"/>
      <c r="B2" s="31"/>
      <c r="C2" s="31"/>
      <c r="D2" s="31"/>
      <c r="E2" s="31"/>
      <c r="F2" s="31"/>
      <c r="G2" s="32"/>
      <c r="H2" s="33"/>
      <c r="I2" s="32"/>
      <c r="J2" s="34" t="s">
        <v>33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5">
      <c r="A3" s="30"/>
      <c r="B3" s="31"/>
      <c r="C3" s="31"/>
      <c r="D3" s="31"/>
      <c r="E3" s="31"/>
      <c r="F3" s="31"/>
      <c r="G3" s="32"/>
      <c r="H3" s="33"/>
      <c r="I3" s="32"/>
      <c r="J3" s="34" t="s">
        <v>34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7.25" x14ac:dyDescent="0.3">
      <c r="A4" s="163" t="s">
        <v>35</v>
      </c>
      <c r="B4" s="132"/>
      <c r="C4" s="132"/>
      <c r="D4" s="132"/>
      <c r="E4" s="132"/>
      <c r="F4" s="132"/>
      <c r="G4" s="132"/>
      <c r="H4" s="132"/>
      <c r="I4" s="132"/>
      <c r="J4" s="164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5">
      <c r="A5" s="30"/>
      <c r="B5" s="31"/>
      <c r="C5" s="31"/>
      <c r="D5" s="31"/>
      <c r="E5" s="31"/>
      <c r="F5" s="31"/>
      <c r="G5" s="32"/>
      <c r="H5" s="33"/>
      <c r="I5" s="32"/>
      <c r="J5" s="35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5">
      <c r="A6" s="30" t="s">
        <v>127</v>
      </c>
      <c r="B6" s="31"/>
      <c r="C6" s="31"/>
      <c r="D6" s="31"/>
      <c r="E6" s="31"/>
      <c r="F6" s="31"/>
      <c r="G6" s="32"/>
      <c r="H6" s="33"/>
      <c r="I6" s="32"/>
      <c r="J6" s="3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5">
      <c r="A7" s="30" t="s">
        <v>128</v>
      </c>
      <c r="B7" s="31"/>
      <c r="C7" s="31"/>
      <c r="D7" s="31"/>
      <c r="E7" s="31"/>
      <c r="F7" s="31"/>
      <c r="G7" s="32"/>
      <c r="H7" s="33"/>
      <c r="I7" s="32"/>
      <c r="J7" s="35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5">
      <c r="A8" s="30"/>
      <c r="B8" s="31"/>
      <c r="C8" s="31"/>
      <c r="D8" s="31"/>
      <c r="E8" s="31"/>
      <c r="F8" s="31"/>
      <c r="G8" s="32"/>
      <c r="H8" s="32"/>
      <c r="I8" s="32"/>
      <c r="J8" s="35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5">
      <c r="A9" s="30"/>
      <c r="B9" s="31"/>
      <c r="C9" s="31"/>
      <c r="D9" s="31"/>
      <c r="E9" s="31"/>
      <c r="F9" s="32"/>
      <c r="G9" s="32"/>
      <c r="H9" s="32"/>
      <c r="I9" s="32"/>
      <c r="J9" s="35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5">
      <c r="A10" s="30"/>
      <c r="B10" s="31"/>
      <c r="C10" s="31"/>
      <c r="D10" s="31"/>
      <c r="E10" s="31"/>
      <c r="F10" s="32"/>
      <c r="G10" s="32"/>
      <c r="H10" s="32"/>
      <c r="I10" s="32"/>
      <c r="J10" s="36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5">
      <c r="A11" s="24" t="s">
        <v>36</v>
      </c>
      <c r="B11" s="37" t="s">
        <v>37</v>
      </c>
      <c r="C11" s="38"/>
      <c r="D11" s="39"/>
      <c r="E11" s="40"/>
      <c r="F11" s="39" t="s">
        <v>38</v>
      </c>
      <c r="G11" s="39"/>
      <c r="H11" s="26"/>
      <c r="I11" s="26"/>
      <c r="J11" s="41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5">
      <c r="A12" s="30"/>
      <c r="B12" s="42"/>
      <c r="C12" s="43"/>
      <c r="D12" s="44"/>
      <c r="E12" s="45"/>
      <c r="F12" s="44"/>
      <c r="G12" s="44"/>
      <c r="H12" s="32"/>
      <c r="I12" s="32"/>
      <c r="J12" s="3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5">
      <c r="A13" s="46"/>
      <c r="B13" s="165" t="s">
        <v>39</v>
      </c>
      <c r="C13" s="132"/>
      <c r="D13" s="132"/>
      <c r="E13" s="164"/>
      <c r="F13" s="166" t="s">
        <v>40</v>
      </c>
      <c r="G13" s="132"/>
      <c r="H13" s="132"/>
      <c r="I13" s="132"/>
      <c r="J13" s="16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5">
      <c r="A14" s="47" t="s">
        <v>41</v>
      </c>
      <c r="B14" s="167" t="s">
        <v>42</v>
      </c>
      <c r="C14" s="168"/>
      <c r="D14" s="168"/>
      <c r="E14" s="128"/>
      <c r="F14" s="167" t="s">
        <v>43</v>
      </c>
      <c r="G14" s="168"/>
      <c r="H14" s="168"/>
      <c r="I14" s="168"/>
      <c r="J14" s="128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9" customHeight="1" x14ac:dyDescent="0.25">
      <c r="A15" s="169" t="s">
        <v>44</v>
      </c>
      <c r="B15" s="171" t="s">
        <v>45</v>
      </c>
      <c r="C15" s="171" t="s">
        <v>46</v>
      </c>
      <c r="D15" s="171" t="s">
        <v>47</v>
      </c>
      <c r="E15" s="171" t="s">
        <v>48</v>
      </c>
      <c r="F15" s="173" t="s">
        <v>49</v>
      </c>
      <c r="G15" s="161"/>
      <c r="H15" s="161"/>
      <c r="I15" s="174"/>
      <c r="J15" s="175" t="s">
        <v>50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5">
      <c r="A16" s="170"/>
      <c r="B16" s="172"/>
      <c r="C16" s="172"/>
      <c r="D16" s="172"/>
      <c r="E16" s="172"/>
      <c r="F16" s="48" t="s">
        <v>51</v>
      </c>
      <c r="G16" s="49" t="s">
        <v>52</v>
      </c>
      <c r="H16" s="49" t="s">
        <v>53</v>
      </c>
      <c r="I16" s="49" t="s">
        <v>54</v>
      </c>
      <c r="J16" s="176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5">
      <c r="A17" s="160" t="s">
        <v>55</v>
      </c>
      <c r="B17" s="161"/>
      <c r="C17" s="161"/>
      <c r="D17" s="161"/>
      <c r="E17" s="161"/>
      <c r="F17" s="161"/>
      <c r="G17" s="161"/>
      <c r="H17" s="161"/>
      <c r="I17" s="161"/>
      <c r="J17" s="15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5">
      <c r="A18" s="162" t="s">
        <v>56</v>
      </c>
      <c r="B18" s="122"/>
      <c r="C18" s="122"/>
      <c r="D18" s="122"/>
      <c r="E18" s="130"/>
      <c r="F18" s="50"/>
      <c r="G18" s="50"/>
      <c r="H18" s="50"/>
      <c r="I18" s="50"/>
      <c r="J18" s="51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36" customHeight="1" x14ac:dyDescent="0.25">
      <c r="A19" s="52" t="s">
        <v>57</v>
      </c>
      <c r="B19" s="53"/>
      <c r="C19" s="115"/>
      <c r="D19" s="54"/>
      <c r="E19" s="54"/>
      <c r="F19" s="55"/>
      <c r="G19" s="55"/>
      <c r="H19" s="55"/>
      <c r="I19" s="56"/>
      <c r="J19" s="57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37.5" customHeight="1" x14ac:dyDescent="0.25">
      <c r="A20" s="52" t="s">
        <v>58</v>
      </c>
      <c r="B20" s="53"/>
      <c r="C20" s="115"/>
      <c r="D20" s="54"/>
      <c r="E20" s="54"/>
      <c r="F20" s="55"/>
      <c r="G20" s="55"/>
      <c r="H20" s="55"/>
      <c r="I20" s="56"/>
      <c r="J20" s="57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36.75" customHeight="1" x14ac:dyDescent="0.25">
      <c r="A21" s="52" t="s">
        <v>59</v>
      </c>
      <c r="B21" s="53"/>
      <c r="C21" s="115"/>
      <c r="D21" s="54"/>
      <c r="E21" s="54"/>
      <c r="F21" s="55"/>
      <c r="G21" s="55"/>
      <c r="H21" s="55"/>
      <c r="I21" s="56"/>
      <c r="J21" s="57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30" customHeight="1" x14ac:dyDescent="0.25">
      <c r="A22" s="52" t="s">
        <v>60</v>
      </c>
      <c r="B22" s="53"/>
      <c r="C22" s="115"/>
      <c r="D22" s="54"/>
      <c r="E22" s="54"/>
      <c r="F22" s="55" t="str">
        <f>IFERROR(LOOKUP((C22/B22),RANGE2,GRADE),"")</f>
        <v/>
      </c>
      <c r="G22" s="55"/>
      <c r="H22" s="55" t="str">
        <f>IF(E22="","",LOOKUP(NETWORKDAYS(E22,D22,NWRK)-1,RANGE3,GRADE))</f>
        <v/>
      </c>
      <c r="I22" s="56" t="str">
        <f t="shared" ref="I22" si="0">IFERROR(AVERAGE(F22:H22),"")</f>
        <v/>
      </c>
      <c r="J22" s="58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 x14ac:dyDescent="0.25">
      <c r="A23" s="59" t="s">
        <v>61</v>
      </c>
      <c r="B23" s="60"/>
      <c r="C23" s="116"/>
      <c r="D23" s="60"/>
      <c r="E23" s="60"/>
      <c r="F23" s="61"/>
      <c r="G23" s="61"/>
      <c r="H23" s="61"/>
      <c r="I23" s="62"/>
      <c r="J23" s="63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30" customHeight="1" x14ac:dyDescent="0.25">
      <c r="A24" s="52" t="s">
        <v>62</v>
      </c>
      <c r="B24" s="53"/>
      <c r="C24" s="115"/>
      <c r="D24" s="54"/>
      <c r="E24" s="54"/>
      <c r="F24" s="55"/>
      <c r="G24" s="55"/>
      <c r="H24" s="55"/>
      <c r="I24" s="56"/>
      <c r="J24" s="64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30" customHeight="1" x14ac:dyDescent="0.25">
      <c r="A25" s="52" t="s">
        <v>63</v>
      </c>
      <c r="B25" s="53"/>
      <c r="C25" s="115"/>
      <c r="D25" s="54"/>
      <c r="E25" s="54"/>
      <c r="F25" s="55"/>
      <c r="G25" s="55"/>
      <c r="H25" s="55"/>
      <c r="I25" s="56"/>
      <c r="J25" s="65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 x14ac:dyDescent="0.25">
      <c r="A26" s="141" t="s">
        <v>64</v>
      </c>
      <c r="B26" s="142"/>
      <c r="C26" s="142"/>
      <c r="D26" s="142"/>
      <c r="E26" s="143"/>
      <c r="F26" s="66"/>
      <c r="G26" s="66"/>
      <c r="H26" s="66"/>
      <c r="I26" s="66"/>
      <c r="J26" s="67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30" customHeight="1" x14ac:dyDescent="0.25">
      <c r="A27" s="68" t="s">
        <v>65</v>
      </c>
      <c r="B27" s="53"/>
      <c r="C27" s="115"/>
      <c r="D27" s="54"/>
      <c r="E27" s="54"/>
      <c r="F27" s="55"/>
      <c r="G27" s="55"/>
      <c r="H27" s="55"/>
      <c r="I27" s="56"/>
      <c r="J27" s="6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30" customHeight="1" x14ac:dyDescent="0.25">
      <c r="A28" s="70" t="s">
        <v>66</v>
      </c>
      <c r="B28" s="71"/>
      <c r="C28" s="117"/>
      <c r="D28" s="54"/>
      <c r="E28" s="54"/>
      <c r="F28" s="55"/>
      <c r="G28" s="55"/>
      <c r="H28" s="55"/>
      <c r="I28" s="56"/>
      <c r="J28" s="65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 x14ac:dyDescent="0.25">
      <c r="A29" s="141" t="s">
        <v>67</v>
      </c>
      <c r="B29" s="142"/>
      <c r="C29" s="142"/>
      <c r="D29" s="142"/>
      <c r="E29" s="143"/>
      <c r="F29" s="66"/>
      <c r="G29" s="66"/>
      <c r="H29" s="66"/>
      <c r="I29" s="66"/>
      <c r="J29" s="67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30" customHeight="1" x14ac:dyDescent="0.25">
      <c r="A30" s="52" t="s">
        <v>68</v>
      </c>
      <c r="B30" s="53"/>
      <c r="C30" s="115"/>
      <c r="D30" s="54"/>
      <c r="E30" s="54"/>
      <c r="F30" s="55"/>
      <c r="G30" s="55"/>
      <c r="H30" s="55"/>
      <c r="I30" s="56"/>
      <c r="J30" s="65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30" customHeight="1" x14ac:dyDescent="0.25">
      <c r="A31" s="52" t="s">
        <v>69</v>
      </c>
      <c r="B31" s="53"/>
      <c r="C31" s="115"/>
      <c r="D31" s="54"/>
      <c r="E31" s="54"/>
      <c r="F31" s="55"/>
      <c r="G31" s="55"/>
      <c r="H31" s="55"/>
      <c r="I31" s="56"/>
      <c r="J31" s="65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30" customHeight="1" x14ac:dyDescent="0.25">
      <c r="A32" s="52" t="s">
        <v>70</v>
      </c>
      <c r="B32" s="53"/>
      <c r="C32" s="115"/>
      <c r="D32" s="54"/>
      <c r="E32" s="54"/>
      <c r="F32" s="55"/>
      <c r="G32" s="55"/>
      <c r="H32" s="55"/>
      <c r="I32" s="56"/>
      <c r="J32" s="65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 x14ac:dyDescent="0.25">
      <c r="A33" s="158" t="s">
        <v>71</v>
      </c>
      <c r="B33" s="138"/>
      <c r="C33" s="138"/>
      <c r="D33" s="138"/>
      <c r="E33" s="159"/>
      <c r="F33" s="66"/>
      <c r="G33" s="66"/>
      <c r="H33" s="66"/>
      <c r="I33" s="66"/>
      <c r="J33" s="67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30" customHeight="1" x14ac:dyDescent="0.25">
      <c r="A34" s="52" t="s">
        <v>72</v>
      </c>
      <c r="B34" s="53"/>
      <c r="C34" s="115"/>
      <c r="D34" s="54"/>
      <c r="E34" s="54"/>
      <c r="F34" s="55"/>
      <c r="G34" s="55"/>
      <c r="H34" s="55"/>
      <c r="I34" s="56"/>
      <c r="J34" s="65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 x14ac:dyDescent="0.25">
      <c r="A35" s="141" t="s">
        <v>73</v>
      </c>
      <c r="B35" s="142"/>
      <c r="C35" s="142"/>
      <c r="D35" s="142"/>
      <c r="E35" s="143"/>
      <c r="F35" s="66"/>
      <c r="G35" s="66"/>
      <c r="H35" s="66"/>
      <c r="I35" s="66"/>
      <c r="J35" s="67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36.75" customHeight="1" x14ac:dyDescent="0.25">
      <c r="A36" s="52" t="s">
        <v>74</v>
      </c>
      <c r="B36" s="53"/>
      <c r="C36" s="115"/>
      <c r="D36" s="54"/>
      <c r="E36" s="54"/>
      <c r="F36" s="55"/>
      <c r="G36" s="55"/>
      <c r="H36" s="55"/>
      <c r="I36" s="56"/>
      <c r="J36" s="65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 x14ac:dyDescent="0.25">
      <c r="A37" s="158" t="s">
        <v>75</v>
      </c>
      <c r="B37" s="138"/>
      <c r="C37" s="138"/>
      <c r="D37" s="138"/>
      <c r="E37" s="159"/>
      <c r="F37" s="66"/>
      <c r="G37" s="66"/>
      <c r="H37" s="66"/>
      <c r="I37" s="66"/>
      <c r="J37" s="67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51" customHeight="1" x14ac:dyDescent="0.25">
      <c r="A38" s="72" t="s">
        <v>76</v>
      </c>
      <c r="B38" s="73"/>
      <c r="C38" s="118"/>
      <c r="D38" s="54"/>
      <c r="E38" s="54"/>
      <c r="F38" s="74"/>
      <c r="G38" s="55"/>
      <c r="H38" s="55"/>
      <c r="I38" s="56"/>
      <c r="J38" s="65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 x14ac:dyDescent="0.25">
      <c r="A39" s="140" t="s">
        <v>77</v>
      </c>
      <c r="B39" s="122"/>
      <c r="C39" s="122"/>
      <c r="D39" s="122"/>
      <c r="E39" s="122"/>
      <c r="F39" s="122"/>
      <c r="G39" s="122"/>
      <c r="H39" s="122"/>
      <c r="I39" s="122"/>
      <c r="J39" s="124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 x14ac:dyDescent="0.25">
      <c r="A40" s="129" t="s">
        <v>78</v>
      </c>
      <c r="B40" s="122"/>
      <c r="C40" s="122"/>
      <c r="D40" s="122"/>
      <c r="E40" s="130"/>
      <c r="F40" s="50"/>
      <c r="G40" s="50"/>
      <c r="H40" s="50"/>
      <c r="I40" s="50"/>
      <c r="J40" s="51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30" customHeight="1" x14ac:dyDescent="0.25">
      <c r="A41" s="52" t="s">
        <v>79</v>
      </c>
      <c r="B41" s="53"/>
      <c r="C41" s="115"/>
      <c r="D41" s="54"/>
      <c r="E41" s="54"/>
      <c r="F41" s="55"/>
      <c r="G41" s="55"/>
      <c r="H41" s="55"/>
      <c r="I41" s="56"/>
      <c r="J41" s="75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30" customHeight="1" x14ac:dyDescent="0.25">
      <c r="A42" s="52" t="s">
        <v>80</v>
      </c>
      <c r="B42" s="53"/>
      <c r="C42" s="115"/>
      <c r="D42" s="54"/>
      <c r="E42" s="54"/>
      <c r="F42" s="55"/>
      <c r="G42" s="55"/>
      <c r="H42" s="55"/>
      <c r="I42" s="56"/>
      <c r="J42" s="75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30" customHeight="1" x14ac:dyDescent="0.25">
      <c r="A43" s="52" t="s">
        <v>81</v>
      </c>
      <c r="B43" s="53"/>
      <c r="C43" s="115"/>
      <c r="D43" s="54"/>
      <c r="E43" s="54"/>
      <c r="F43" s="55"/>
      <c r="G43" s="55"/>
      <c r="H43" s="55"/>
      <c r="I43" s="56"/>
      <c r="J43" s="75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30" customHeight="1" x14ac:dyDescent="0.25">
      <c r="A44" s="52" t="s">
        <v>82</v>
      </c>
      <c r="B44" s="53"/>
      <c r="C44" s="115"/>
      <c r="D44" s="54"/>
      <c r="E44" s="54"/>
      <c r="F44" s="55"/>
      <c r="G44" s="55"/>
      <c r="H44" s="55"/>
      <c r="I44" s="56"/>
      <c r="J44" s="75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30" customHeight="1" x14ac:dyDescent="0.25">
      <c r="A45" s="52" t="s">
        <v>83</v>
      </c>
      <c r="B45" s="53"/>
      <c r="C45" s="115"/>
      <c r="D45" s="54"/>
      <c r="E45" s="54"/>
      <c r="F45" s="55"/>
      <c r="G45" s="55"/>
      <c r="H45" s="55"/>
      <c r="I45" s="56"/>
      <c r="J45" s="75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30" customHeight="1" x14ac:dyDescent="0.25">
      <c r="A46" s="72" t="s">
        <v>84</v>
      </c>
      <c r="B46" s="73"/>
      <c r="C46" s="118"/>
      <c r="D46" s="54"/>
      <c r="E46" s="54"/>
      <c r="F46" s="55"/>
      <c r="G46" s="55"/>
      <c r="H46" s="55"/>
      <c r="I46" s="56"/>
      <c r="J46" s="76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30" customHeight="1" x14ac:dyDescent="0.25">
      <c r="A47" s="72" t="s">
        <v>85</v>
      </c>
      <c r="B47" s="73"/>
      <c r="C47" s="118"/>
      <c r="D47" s="54"/>
      <c r="E47" s="54"/>
      <c r="F47" s="55"/>
      <c r="G47" s="55"/>
      <c r="H47" s="55"/>
      <c r="I47" s="56"/>
      <c r="J47" s="76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 x14ac:dyDescent="0.25">
      <c r="A48" s="140" t="s">
        <v>86</v>
      </c>
      <c r="B48" s="122"/>
      <c r="C48" s="122"/>
      <c r="D48" s="122"/>
      <c r="E48" s="122"/>
      <c r="F48" s="122"/>
      <c r="G48" s="122"/>
      <c r="H48" s="122"/>
      <c r="I48" s="122"/>
      <c r="J48" s="124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 x14ac:dyDescent="0.25">
      <c r="A49" s="141" t="s">
        <v>87</v>
      </c>
      <c r="B49" s="142"/>
      <c r="C49" s="142"/>
      <c r="D49" s="142"/>
      <c r="E49" s="143"/>
      <c r="F49" s="50"/>
      <c r="G49" s="50"/>
      <c r="H49" s="50"/>
      <c r="I49" s="50"/>
      <c r="J49" s="51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30" customHeight="1" x14ac:dyDescent="0.25">
      <c r="A50" s="52" t="s">
        <v>88</v>
      </c>
      <c r="B50" s="53"/>
      <c r="C50" s="115"/>
      <c r="D50" s="54"/>
      <c r="E50" s="54"/>
      <c r="F50" s="55"/>
      <c r="G50" s="55"/>
      <c r="H50" s="55"/>
      <c r="I50" s="77"/>
      <c r="J50" s="78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30" customHeight="1" x14ac:dyDescent="0.25">
      <c r="A51" s="52" t="s">
        <v>89</v>
      </c>
      <c r="B51" s="53"/>
      <c r="C51" s="115"/>
      <c r="D51" s="54"/>
      <c r="E51" s="54"/>
      <c r="F51" s="55"/>
      <c r="G51" s="55"/>
      <c r="H51" s="55"/>
      <c r="I51" s="56"/>
      <c r="J51" s="76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30" customHeight="1" x14ac:dyDescent="0.25">
      <c r="A52" s="52" t="s">
        <v>90</v>
      </c>
      <c r="B52" s="53"/>
      <c r="C52" s="115"/>
      <c r="D52" s="54"/>
      <c r="E52" s="54"/>
      <c r="F52" s="55"/>
      <c r="G52" s="55"/>
      <c r="H52" s="55"/>
      <c r="I52" s="56"/>
      <c r="J52" s="75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39" customHeight="1" x14ac:dyDescent="0.25">
      <c r="A53" s="52" t="s">
        <v>91</v>
      </c>
      <c r="B53" s="53"/>
      <c r="C53" s="115"/>
      <c r="D53" s="54"/>
      <c r="E53" s="54"/>
      <c r="F53" s="55"/>
      <c r="G53" s="55"/>
      <c r="H53" s="55"/>
      <c r="I53" s="56"/>
      <c r="J53" s="75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30" customHeight="1" x14ac:dyDescent="0.25">
      <c r="A54" s="72" t="s">
        <v>92</v>
      </c>
      <c r="B54" s="73"/>
      <c r="C54" s="118"/>
      <c r="D54" s="54"/>
      <c r="E54" s="54"/>
      <c r="F54" s="55"/>
      <c r="G54" s="74"/>
      <c r="H54" s="55"/>
      <c r="I54" s="56"/>
      <c r="J54" s="76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 x14ac:dyDescent="0.25">
      <c r="A55" s="140" t="s">
        <v>93</v>
      </c>
      <c r="B55" s="122"/>
      <c r="C55" s="122"/>
      <c r="D55" s="122"/>
      <c r="E55" s="122"/>
      <c r="F55" s="122"/>
      <c r="G55" s="122"/>
      <c r="H55" s="122"/>
      <c r="I55" s="122"/>
      <c r="J55" s="124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 customHeight="1" x14ac:dyDescent="0.25">
      <c r="A56" s="129" t="s">
        <v>94</v>
      </c>
      <c r="B56" s="122"/>
      <c r="C56" s="122"/>
      <c r="D56" s="122"/>
      <c r="E56" s="130"/>
      <c r="F56" s="79"/>
      <c r="G56" s="79"/>
      <c r="H56" s="79"/>
      <c r="I56" s="79"/>
      <c r="J56" s="8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 x14ac:dyDescent="0.25">
      <c r="A57" s="81" t="s">
        <v>95</v>
      </c>
      <c r="B57" s="71"/>
      <c r="C57" s="117"/>
      <c r="D57" s="54"/>
      <c r="E57" s="54"/>
      <c r="F57" s="82"/>
      <c r="G57" s="82"/>
      <c r="H57" s="55"/>
      <c r="I57" s="83"/>
      <c r="J57" s="76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 x14ac:dyDescent="0.25">
      <c r="A58" s="129" t="s">
        <v>96</v>
      </c>
      <c r="B58" s="122"/>
      <c r="C58" s="122"/>
      <c r="D58" s="122"/>
      <c r="E58" s="130"/>
      <c r="F58" s="61"/>
      <c r="G58" s="61"/>
      <c r="H58" s="61"/>
      <c r="I58" s="62"/>
      <c r="J58" s="63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 x14ac:dyDescent="0.25">
      <c r="A59" s="52" t="s">
        <v>97</v>
      </c>
      <c r="B59" s="53"/>
      <c r="C59" s="115"/>
      <c r="D59" s="54"/>
      <c r="E59" s="54"/>
      <c r="F59" s="55"/>
      <c r="G59" s="55"/>
      <c r="H59" s="55"/>
      <c r="I59" s="56"/>
      <c r="J59" s="76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 x14ac:dyDescent="0.25">
      <c r="A60" s="129" t="s">
        <v>98</v>
      </c>
      <c r="B60" s="122"/>
      <c r="C60" s="122"/>
      <c r="D60" s="122"/>
      <c r="E60" s="130"/>
      <c r="F60" s="66"/>
      <c r="G60" s="66"/>
      <c r="H60" s="66"/>
      <c r="I60" s="66"/>
      <c r="J60" s="67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 x14ac:dyDescent="0.25">
      <c r="A61" s="52" t="s">
        <v>97</v>
      </c>
      <c r="B61" s="53"/>
      <c r="C61" s="115"/>
      <c r="D61" s="54"/>
      <c r="E61" s="54"/>
      <c r="F61" s="55"/>
      <c r="G61" s="55"/>
      <c r="H61" s="55"/>
      <c r="I61" s="56"/>
      <c r="J61" s="75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 x14ac:dyDescent="0.25">
      <c r="A62" s="129" t="s">
        <v>99</v>
      </c>
      <c r="B62" s="122"/>
      <c r="C62" s="122"/>
      <c r="D62" s="122"/>
      <c r="E62" s="130"/>
      <c r="F62" s="66"/>
      <c r="G62" s="66"/>
      <c r="H62" s="66"/>
      <c r="I62" s="66"/>
      <c r="J62" s="67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30" customHeight="1" x14ac:dyDescent="0.25">
      <c r="A63" s="52" t="s">
        <v>100</v>
      </c>
      <c r="B63" s="53"/>
      <c r="C63" s="115"/>
      <c r="D63" s="54"/>
      <c r="E63" s="54"/>
      <c r="F63" s="55"/>
      <c r="G63" s="55"/>
      <c r="H63" s="55"/>
      <c r="I63" s="56"/>
      <c r="J63" s="75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 x14ac:dyDescent="0.25">
      <c r="A64" s="129" t="s">
        <v>101</v>
      </c>
      <c r="B64" s="122"/>
      <c r="C64" s="122"/>
      <c r="D64" s="122"/>
      <c r="E64" s="130"/>
      <c r="F64" s="66"/>
      <c r="G64" s="66"/>
      <c r="H64" s="66"/>
      <c r="I64" s="66"/>
      <c r="J64" s="67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30" customHeight="1" x14ac:dyDescent="0.25">
      <c r="A65" s="52" t="s">
        <v>100</v>
      </c>
      <c r="B65" s="53"/>
      <c r="C65" s="115"/>
      <c r="D65" s="54"/>
      <c r="E65" s="54"/>
      <c r="F65" s="55"/>
      <c r="G65" s="55"/>
      <c r="H65" s="55"/>
      <c r="I65" s="56"/>
      <c r="J65" s="75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 customHeight="1" x14ac:dyDescent="0.25">
      <c r="A66" s="129" t="s">
        <v>102</v>
      </c>
      <c r="B66" s="122"/>
      <c r="C66" s="122"/>
      <c r="D66" s="122"/>
      <c r="E66" s="130"/>
      <c r="F66" s="66"/>
      <c r="G66" s="66"/>
      <c r="H66" s="66"/>
      <c r="I66" s="66"/>
      <c r="J66" s="67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30" customHeight="1" x14ac:dyDescent="0.25">
      <c r="A67" s="52" t="s">
        <v>103</v>
      </c>
      <c r="B67" s="53"/>
      <c r="C67" s="115"/>
      <c r="D67" s="54"/>
      <c r="E67" s="54"/>
      <c r="F67" s="55"/>
      <c r="G67" s="55"/>
      <c r="H67" s="55"/>
      <c r="I67" s="56"/>
      <c r="J67" s="65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 x14ac:dyDescent="0.25">
      <c r="A68" s="129" t="s">
        <v>104</v>
      </c>
      <c r="B68" s="122"/>
      <c r="C68" s="122"/>
      <c r="D68" s="122"/>
      <c r="E68" s="130"/>
      <c r="F68" s="84"/>
      <c r="G68" s="84"/>
      <c r="H68" s="84"/>
      <c r="I68" s="85"/>
      <c r="J68" s="86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 x14ac:dyDescent="0.25">
      <c r="A69" s="52" t="s">
        <v>105</v>
      </c>
      <c r="B69" s="87"/>
      <c r="C69" s="119"/>
      <c r="D69" s="54"/>
      <c r="E69" s="54"/>
      <c r="F69" s="55"/>
      <c r="G69" s="55"/>
      <c r="H69" s="55"/>
      <c r="I69" s="56"/>
      <c r="J69" s="88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 customHeight="1" x14ac:dyDescent="0.25">
      <c r="A70" s="131" t="s">
        <v>106</v>
      </c>
      <c r="B70" s="132"/>
      <c r="C70" s="132"/>
      <c r="D70" s="132"/>
      <c r="E70" s="133"/>
      <c r="F70" s="89"/>
      <c r="G70" s="134"/>
      <c r="H70" s="122"/>
      <c r="I70" s="130"/>
      <c r="J70" s="88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 x14ac:dyDescent="0.25">
      <c r="A71" s="52" t="s">
        <v>105</v>
      </c>
      <c r="B71" s="53"/>
      <c r="C71" s="115"/>
      <c r="D71" s="54"/>
      <c r="E71" s="54"/>
      <c r="F71" s="55"/>
      <c r="G71" s="55"/>
      <c r="H71" s="55"/>
      <c r="I71" s="56"/>
      <c r="J71" s="88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 x14ac:dyDescent="0.25">
      <c r="A72" s="129" t="s">
        <v>107</v>
      </c>
      <c r="B72" s="122"/>
      <c r="C72" s="122"/>
      <c r="D72" s="122"/>
      <c r="E72" s="130"/>
      <c r="F72" s="66"/>
      <c r="G72" s="66"/>
      <c r="H72" s="66"/>
      <c r="I72" s="66"/>
      <c r="J72" s="9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30" customHeight="1" x14ac:dyDescent="0.25">
      <c r="A73" s="72" t="s">
        <v>100</v>
      </c>
      <c r="B73" s="73"/>
      <c r="C73" s="118"/>
      <c r="D73" s="54"/>
      <c r="E73" s="54"/>
      <c r="F73" s="74"/>
      <c r="G73" s="74"/>
      <c r="H73" s="55"/>
      <c r="I73" s="91"/>
      <c r="J73" s="92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 x14ac:dyDescent="0.25">
      <c r="A74" s="140" t="s">
        <v>108</v>
      </c>
      <c r="B74" s="122"/>
      <c r="C74" s="122"/>
      <c r="D74" s="122"/>
      <c r="E74" s="122"/>
      <c r="F74" s="122"/>
      <c r="G74" s="122"/>
      <c r="H74" s="122"/>
      <c r="I74" s="122"/>
      <c r="J74" s="124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 customHeight="1" x14ac:dyDescent="0.25">
      <c r="A75" s="141" t="s">
        <v>109</v>
      </c>
      <c r="B75" s="142"/>
      <c r="C75" s="142"/>
      <c r="D75" s="142"/>
      <c r="E75" s="143"/>
      <c r="F75" s="50"/>
      <c r="G75" s="50"/>
      <c r="H75" s="50"/>
      <c r="I75" s="50"/>
      <c r="J75" s="51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 x14ac:dyDescent="0.25">
      <c r="A76" s="52" t="s">
        <v>110</v>
      </c>
      <c r="B76" s="53"/>
      <c r="C76" s="115"/>
      <c r="D76" s="54"/>
      <c r="E76" s="54"/>
      <c r="F76" s="55" t="str">
        <f t="shared" ref="F76:F83" si="1">IFERROR(LOOKUP((C76/B76),RANGE2,GRADE),"")</f>
        <v/>
      </c>
      <c r="G76" s="55"/>
      <c r="H76" s="55" t="str">
        <f t="shared" ref="H76:H83" si="2">IF(E76="","",LOOKUP(NETWORKDAYS(E76,D76,NWRK)-1,RANGE3,GRADE))</f>
        <v/>
      </c>
      <c r="I76" s="56" t="str">
        <f t="shared" ref="I76:I83" si="3">IFERROR(AVERAGE(F76:H76),"")</f>
        <v/>
      </c>
      <c r="J76" s="75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 x14ac:dyDescent="0.25">
      <c r="A77" s="52" t="s">
        <v>111</v>
      </c>
      <c r="B77" s="53"/>
      <c r="C77" s="115"/>
      <c r="D77" s="54"/>
      <c r="E77" s="54"/>
      <c r="F77" s="55" t="str">
        <f t="shared" si="1"/>
        <v/>
      </c>
      <c r="G77" s="55"/>
      <c r="H77" s="55" t="str">
        <f t="shared" si="2"/>
        <v/>
      </c>
      <c r="I77" s="56" t="str">
        <f t="shared" si="3"/>
        <v/>
      </c>
      <c r="J77" s="75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 x14ac:dyDescent="0.25">
      <c r="A78" s="52" t="s">
        <v>112</v>
      </c>
      <c r="B78" s="53"/>
      <c r="C78" s="115"/>
      <c r="D78" s="54"/>
      <c r="E78" s="54"/>
      <c r="F78" s="55" t="str">
        <f t="shared" si="1"/>
        <v/>
      </c>
      <c r="G78" s="55"/>
      <c r="H78" s="55" t="str">
        <f t="shared" si="2"/>
        <v/>
      </c>
      <c r="I78" s="56" t="str">
        <f t="shared" si="3"/>
        <v/>
      </c>
      <c r="J78" s="76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 x14ac:dyDescent="0.25">
      <c r="A79" s="52" t="s">
        <v>113</v>
      </c>
      <c r="B79" s="53"/>
      <c r="C79" s="115"/>
      <c r="D79" s="54"/>
      <c r="E79" s="54"/>
      <c r="F79" s="55" t="str">
        <f t="shared" si="1"/>
        <v/>
      </c>
      <c r="G79" s="55"/>
      <c r="H79" s="55" t="str">
        <f t="shared" si="2"/>
        <v/>
      </c>
      <c r="I79" s="56" t="str">
        <f t="shared" si="3"/>
        <v/>
      </c>
      <c r="J79" s="75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 x14ac:dyDescent="0.25">
      <c r="A80" s="52" t="s">
        <v>114</v>
      </c>
      <c r="B80" s="53"/>
      <c r="C80" s="115"/>
      <c r="D80" s="54"/>
      <c r="E80" s="54"/>
      <c r="F80" s="55" t="str">
        <f t="shared" si="1"/>
        <v/>
      </c>
      <c r="G80" s="55"/>
      <c r="H80" s="55" t="str">
        <f t="shared" si="2"/>
        <v/>
      </c>
      <c r="I80" s="56" t="str">
        <f t="shared" si="3"/>
        <v/>
      </c>
      <c r="J80" s="75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 x14ac:dyDescent="0.25">
      <c r="A81" s="52"/>
      <c r="B81" s="53"/>
      <c r="C81" s="115"/>
      <c r="D81" s="54"/>
      <c r="E81" s="54"/>
      <c r="F81" s="55" t="str">
        <f t="shared" si="1"/>
        <v/>
      </c>
      <c r="G81" s="55"/>
      <c r="H81" s="55" t="str">
        <f t="shared" si="2"/>
        <v/>
      </c>
      <c r="I81" s="56" t="str">
        <f t="shared" si="3"/>
        <v/>
      </c>
      <c r="J81" s="75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 x14ac:dyDescent="0.25">
      <c r="A82" s="52"/>
      <c r="B82" s="53"/>
      <c r="C82" s="115"/>
      <c r="D82" s="54"/>
      <c r="E82" s="54"/>
      <c r="F82" s="55" t="str">
        <f t="shared" si="1"/>
        <v/>
      </c>
      <c r="G82" s="55"/>
      <c r="H82" s="55" t="str">
        <f t="shared" si="2"/>
        <v/>
      </c>
      <c r="I82" s="56" t="str">
        <f t="shared" si="3"/>
        <v/>
      </c>
      <c r="J82" s="75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 x14ac:dyDescent="0.25">
      <c r="A83" s="93"/>
      <c r="B83" s="94"/>
      <c r="C83" s="120"/>
      <c r="D83" s="95"/>
      <c r="E83" s="95"/>
      <c r="F83" s="96" t="str">
        <f t="shared" si="1"/>
        <v/>
      </c>
      <c r="G83" s="96"/>
      <c r="H83" s="55" t="str">
        <f t="shared" si="2"/>
        <v/>
      </c>
      <c r="I83" s="97" t="str">
        <f t="shared" si="3"/>
        <v/>
      </c>
      <c r="J83" s="98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 x14ac:dyDescent="0.25">
      <c r="A84" s="144" t="s">
        <v>115</v>
      </c>
      <c r="B84" s="145"/>
      <c r="C84" s="145"/>
      <c r="D84" s="145"/>
      <c r="E84" s="146"/>
      <c r="F84" s="150"/>
      <c r="G84" s="151"/>
      <c r="H84" s="99" t="s">
        <v>116</v>
      </c>
      <c r="I84" s="154" t="s">
        <v>117</v>
      </c>
      <c r="J84" s="155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43.5" customHeight="1" x14ac:dyDescent="0.25">
      <c r="A85" s="147"/>
      <c r="B85" s="148"/>
      <c r="C85" s="148"/>
      <c r="D85" s="148"/>
      <c r="E85" s="149"/>
      <c r="F85" s="152"/>
      <c r="G85" s="153"/>
      <c r="H85" s="100"/>
      <c r="I85" s="156" t="str">
        <f>IF(H85="","",LOOKUP(H85,ROUNDUP,DESCRIPTION))</f>
        <v/>
      </c>
      <c r="J85" s="157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43.5" customHeight="1" x14ac:dyDescent="0.25">
      <c r="A86" s="101" t="s">
        <v>118</v>
      </c>
      <c r="B86" s="102" t="s">
        <v>119</v>
      </c>
      <c r="C86" s="103"/>
      <c r="D86" s="104"/>
      <c r="E86" s="102" t="s">
        <v>120</v>
      </c>
      <c r="F86" s="105"/>
      <c r="G86" s="106"/>
      <c r="H86" s="105" t="s">
        <v>121</v>
      </c>
      <c r="I86" s="105"/>
      <c r="J86" s="107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 x14ac:dyDescent="0.25">
      <c r="A87" s="108"/>
      <c r="B87" s="135" t="s">
        <v>39</v>
      </c>
      <c r="C87" s="132"/>
      <c r="D87" s="136"/>
      <c r="E87" s="135" t="s">
        <v>122</v>
      </c>
      <c r="F87" s="132"/>
      <c r="G87" s="136"/>
      <c r="H87" s="137" t="s">
        <v>40</v>
      </c>
      <c r="I87" s="138"/>
      <c r="J87" s="13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 x14ac:dyDescent="0.25">
      <c r="A88" s="109" t="s">
        <v>123</v>
      </c>
      <c r="B88" s="121" t="s">
        <v>42</v>
      </c>
      <c r="C88" s="122"/>
      <c r="D88" s="123"/>
      <c r="E88" s="121" t="s">
        <v>124</v>
      </c>
      <c r="F88" s="122"/>
      <c r="G88" s="123"/>
      <c r="H88" s="121" t="s">
        <v>125</v>
      </c>
      <c r="I88" s="122"/>
      <c r="J88" s="124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 x14ac:dyDescent="0.3">
      <c r="A89" s="110" t="s">
        <v>126</v>
      </c>
      <c r="B89" s="111" t="s">
        <v>126</v>
      </c>
      <c r="C89" s="125"/>
      <c r="D89" s="126"/>
      <c r="E89" s="111" t="s">
        <v>126</v>
      </c>
      <c r="F89" s="112"/>
      <c r="G89" s="113"/>
      <c r="H89" s="114" t="s">
        <v>126</v>
      </c>
      <c r="I89" s="127"/>
      <c r="J89" s="128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sheetProtection formatCells="0" formatColumns="0" formatRows="0"/>
  <mergeCells count="48">
    <mergeCell ref="A17:J17"/>
    <mergeCell ref="A18:E18"/>
    <mergeCell ref="A4:J4"/>
    <mergeCell ref="B13:E13"/>
    <mergeCell ref="F13:J13"/>
    <mergeCell ref="B14:E14"/>
    <mergeCell ref="A15:A16"/>
    <mergeCell ref="B15:B16"/>
    <mergeCell ref="E15:E16"/>
    <mergeCell ref="C15:C16"/>
    <mergeCell ref="D15:D16"/>
    <mergeCell ref="F14:J14"/>
    <mergeCell ref="F15:I15"/>
    <mergeCell ref="J15:J16"/>
    <mergeCell ref="A26:E26"/>
    <mergeCell ref="A29:E29"/>
    <mergeCell ref="A33:E33"/>
    <mergeCell ref="A35:E35"/>
    <mergeCell ref="A37:E37"/>
    <mergeCell ref="A39:J39"/>
    <mergeCell ref="A40:E40"/>
    <mergeCell ref="A48:J48"/>
    <mergeCell ref="A49:E49"/>
    <mergeCell ref="A55:J55"/>
    <mergeCell ref="A56:E56"/>
    <mergeCell ref="A58:E58"/>
    <mergeCell ref="A60:E60"/>
    <mergeCell ref="A62:E62"/>
    <mergeCell ref="A64:E64"/>
    <mergeCell ref="A66:E66"/>
    <mergeCell ref="A68:E68"/>
    <mergeCell ref="A70:E70"/>
    <mergeCell ref="G70:I70"/>
    <mergeCell ref="B87:D87"/>
    <mergeCell ref="E87:G87"/>
    <mergeCell ref="H87:J87"/>
    <mergeCell ref="A72:E72"/>
    <mergeCell ref="A74:J74"/>
    <mergeCell ref="A75:E75"/>
    <mergeCell ref="A84:E85"/>
    <mergeCell ref="F84:G85"/>
    <mergeCell ref="I84:J84"/>
    <mergeCell ref="I85:J85"/>
    <mergeCell ref="B88:D88"/>
    <mergeCell ref="E88:G88"/>
    <mergeCell ref="H88:J88"/>
    <mergeCell ref="C89:D89"/>
    <mergeCell ref="I89:J89"/>
  </mergeCells>
  <pageMargins left="0.25" right="0.25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INFO</vt:lpstr>
      <vt:lpstr>IPCR</vt:lpstr>
      <vt:lpstr>ADJRATE</vt:lpstr>
      <vt:lpstr>ADJRNG</vt:lpstr>
      <vt:lpstr>DESCRIPTION</vt:lpstr>
      <vt:lpstr>DGT</vt:lpstr>
      <vt:lpstr>EXT</vt:lpstr>
      <vt:lpstr>GRADE</vt:lpstr>
      <vt:lpstr>HLDY</vt:lpstr>
      <vt:lpstr>HLDYS</vt:lpstr>
      <vt:lpstr>holiday</vt:lpstr>
      <vt:lpstr>holidays</vt:lpstr>
      <vt:lpstr>INS</vt:lpstr>
      <vt:lpstr>NUMRATE</vt:lpstr>
      <vt:lpstr>NWRK</vt:lpstr>
      <vt:lpstr>RANGE</vt:lpstr>
      <vt:lpstr>RANGE1</vt:lpstr>
      <vt:lpstr>RANGE2</vt:lpstr>
      <vt:lpstr>RANGE3</vt:lpstr>
      <vt:lpstr>RES</vt:lpstr>
      <vt:lpstr>ROUNDUP</vt:lpstr>
      <vt:lpstr>SUPT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Suzuki Yuuto</cp:lastModifiedBy>
  <dcterms:created xsi:type="dcterms:W3CDTF">2019-04-16T12:57:00Z</dcterms:created>
  <dcterms:modified xsi:type="dcterms:W3CDTF">2026-05-11T14:04:12Z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